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Work\Project 3\Ecommerce-Sales-Analysis\Excel\"/>
    </mc:Choice>
  </mc:AlternateContent>
  <bookViews>
    <workbookView xWindow="0" yWindow="0" windowWidth="28800" windowHeight="11865" activeTab="3"/>
  </bookViews>
  <sheets>
    <sheet name="Orders" sheetId="1" r:id="rId1"/>
    <sheet name="Products" sheetId="3" r:id="rId2"/>
    <sheet name="Customers" sheetId="4" r:id="rId3"/>
    <sheet name="Pivot Table" sheetId="6" r:id="rId4"/>
    <sheet name="Dashboard" sheetId="5" r:id="rId5"/>
  </sheets>
  <definedNames>
    <definedName name="Slicer_Category">#N/A</definedName>
    <definedName name="Slicer_Months">#N/A</definedName>
    <definedName name="Slicer_Product_Name">#N/A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1" l="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3" i="1"/>
</calcChain>
</file>

<file path=xl/sharedStrings.xml><?xml version="1.0" encoding="utf-8"?>
<sst xmlns="http://schemas.openxmlformats.org/spreadsheetml/2006/main" count="2619" uniqueCount="506">
  <si>
    <t>E-Commerce Orders Dataset  —  2024</t>
  </si>
  <si>
    <t>Order ID</t>
  </si>
  <si>
    <t>Order Date</t>
  </si>
  <si>
    <t>Customer ID</t>
  </si>
  <si>
    <t>Customer Name</t>
  </si>
  <si>
    <t>City</t>
  </si>
  <si>
    <t>Country</t>
  </si>
  <si>
    <t>Product ID</t>
  </si>
  <si>
    <t>Product Name</t>
  </si>
  <si>
    <t>Category</t>
  </si>
  <si>
    <t>Brand</t>
  </si>
  <si>
    <t>Quantity</t>
  </si>
  <si>
    <t>Unit Price ($)</t>
  </si>
  <si>
    <t>Discount %</t>
  </si>
  <si>
    <t>Discount Amt ($)</t>
  </si>
  <si>
    <t>Shipping ($)</t>
  </si>
  <si>
    <t>Total ($)</t>
  </si>
  <si>
    <t>Payment Method</t>
  </si>
  <si>
    <t>Order Status</t>
  </si>
  <si>
    <t>Rating (1-5)</t>
  </si>
  <si>
    <t>ORD-0001</t>
  </si>
  <si>
    <t>2024-11-23</t>
  </si>
  <si>
    <t>C002</t>
  </si>
  <si>
    <t>Emily Johnson</t>
  </si>
  <si>
    <t>Los Angeles</t>
  </si>
  <si>
    <t>USA</t>
  </si>
  <si>
    <t>P001</t>
  </si>
  <si>
    <t>iPhone 15 Pro</t>
  </si>
  <si>
    <t>Electronics</t>
  </si>
  <si>
    <t>Apple</t>
  </si>
  <si>
    <t>Visa</t>
  </si>
  <si>
    <t>Delivered</t>
  </si>
  <si>
    <t>ORD-0002</t>
  </si>
  <si>
    <t>2024-02-14</t>
  </si>
  <si>
    <t>C010</t>
  </si>
  <si>
    <t>Megan Thomas</t>
  </si>
  <si>
    <t>San Jose</t>
  </si>
  <si>
    <t>P007</t>
  </si>
  <si>
    <t>Nike Air Max 270</t>
  </si>
  <si>
    <t>Shoes</t>
  </si>
  <si>
    <t>Nike</t>
  </si>
  <si>
    <t>Cash on Delivery</t>
  </si>
  <si>
    <t>ORD-0003</t>
  </si>
  <si>
    <t>2024-01-14</t>
  </si>
  <si>
    <t>C009</t>
  </si>
  <si>
    <t>Ryan Taylor</t>
  </si>
  <si>
    <t>Dallas</t>
  </si>
  <si>
    <t>P004</t>
  </si>
  <si>
    <t>Sony WH-1000XM5 Headphones</t>
  </si>
  <si>
    <t>Sony</t>
  </si>
  <si>
    <t>PayPal</t>
  </si>
  <si>
    <t>ORD-0004</t>
  </si>
  <si>
    <t>2024-03-22</t>
  </si>
  <si>
    <t>C007</t>
  </si>
  <si>
    <t>Daniel Wilson</t>
  </si>
  <si>
    <t>San Antonio</t>
  </si>
  <si>
    <t>P006</t>
  </si>
  <si>
    <t>Slim Fit Jeans</t>
  </si>
  <si>
    <t>Clothing</t>
  </si>
  <si>
    <t>Levi's</t>
  </si>
  <si>
    <t>Cancelled</t>
  </si>
  <si>
    <t>ORD-0005</t>
  </si>
  <si>
    <t>2024-02-22</t>
  </si>
  <si>
    <t>ORD-0006</t>
  </si>
  <si>
    <t>2024-10-01</t>
  </si>
  <si>
    <t>P015</t>
  </si>
  <si>
    <t>Samsung 500L Refrigerator</t>
  </si>
  <si>
    <t>Home Appliances</t>
  </si>
  <si>
    <t>Samsung</t>
  </si>
  <si>
    <t>ORD-0007</t>
  </si>
  <si>
    <t>2024-10-22</t>
  </si>
  <si>
    <t>C004</t>
  </si>
  <si>
    <t>Sarah Williams</t>
  </si>
  <si>
    <t>Houston</t>
  </si>
  <si>
    <t>P012</t>
  </si>
  <si>
    <t>Chanel No.5 Perfume</t>
  </si>
  <si>
    <t>Perfumes</t>
  </si>
  <si>
    <t>Chanel</t>
  </si>
  <si>
    <t>Shipped</t>
  </si>
  <si>
    <t>ORD-0008</t>
  </si>
  <si>
    <t>2024-04-29</t>
  </si>
  <si>
    <t>ORD-0009</t>
  </si>
  <si>
    <t>2024-12-09</t>
  </si>
  <si>
    <t>C005</t>
  </si>
  <si>
    <t>David Brown</t>
  </si>
  <si>
    <t>Phoenix</t>
  </si>
  <si>
    <t>Mastercard</t>
  </si>
  <si>
    <t>ORD-0010</t>
  </si>
  <si>
    <t>2024-08-24</t>
  </si>
  <si>
    <t>P005</t>
  </si>
  <si>
    <t>Cotton T-Shirt</t>
  </si>
  <si>
    <t>H&amp;M</t>
  </si>
  <si>
    <t>Processing</t>
  </si>
  <si>
    <t>ORD-0011</t>
  </si>
  <si>
    <t>2024-04-27</t>
  </si>
  <si>
    <t>C001</t>
  </si>
  <si>
    <t>James Anderson</t>
  </si>
  <si>
    <t>New York</t>
  </si>
  <si>
    <t>P013</t>
  </si>
  <si>
    <t>Nivea Moisturizing Cream</t>
  </si>
  <si>
    <t>Beauty</t>
  </si>
  <si>
    <t>Nivea</t>
  </si>
  <si>
    <t>ORD-0012</t>
  </si>
  <si>
    <t>2024-04-18</t>
  </si>
  <si>
    <t>C008</t>
  </si>
  <si>
    <t>Ashley Moore</t>
  </si>
  <si>
    <t>San Diego</t>
  </si>
  <si>
    <t>ORD-0013</t>
  </si>
  <si>
    <t>2024-05-14</t>
  </si>
  <si>
    <t>ORD-0014</t>
  </si>
  <si>
    <t>2024-09-09</t>
  </si>
  <si>
    <t>ORD-0015</t>
  </si>
  <si>
    <t>2024-11-01</t>
  </si>
  <si>
    <t>ORD-0016</t>
  </si>
  <si>
    <t>2024-12-14</t>
  </si>
  <si>
    <t>P011</t>
  </si>
  <si>
    <t>Casio G-Shock Watch</t>
  </si>
  <si>
    <t>Watches</t>
  </si>
  <si>
    <t>Casio</t>
  </si>
  <si>
    <t>ORD-0017</t>
  </si>
  <si>
    <t>2024-02-27</t>
  </si>
  <si>
    <t>ORD-0018</t>
  </si>
  <si>
    <t>2024-09-13</t>
  </si>
  <si>
    <t>C003</t>
  </si>
  <si>
    <t>Michael Smith</t>
  </si>
  <si>
    <t>Chicago</t>
  </si>
  <si>
    <t>P009</t>
  </si>
  <si>
    <t>Python for Beginners</t>
  </si>
  <si>
    <t>Books</t>
  </si>
  <si>
    <t>O'Reilly</t>
  </si>
  <si>
    <t>ORD-0019</t>
  </si>
  <si>
    <t>2024-11-07</t>
  </si>
  <si>
    <t>P003</t>
  </si>
  <si>
    <t>Dell XPS Laptop</t>
  </si>
  <si>
    <t>Dell</t>
  </si>
  <si>
    <t>ORD-0020</t>
  </si>
  <si>
    <t>2024-11-02</t>
  </si>
  <si>
    <t>C006</t>
  </si>
  <si>
    <t>Jessica Davis</t>
  </si>
  <si>
    <t>Philadelphia</t>
  </si>
  <si>
    <t>P008</t>
  </si>
  <si>
    <t>Adidas Ultraboost 22</t>
  </si>
  <si>
    <t>Adidas</t>
  </si>
  <si>
    <t>ORD-0021</t>
  </si>
  <si>
    <t>2024-05-02</t>
  </si>
  <si>
    <t>ORD-0022</t>
  </si>
  <si>
    <t>2024-09-29</t>
  </si>
  <si>
    <t>ORD-0023</t>
  </si>
  <si>
    <t>ORD-0024</t>
  </si>
  <si>
    <t>2024-09-21</t>
  </si>
  <si>
    <t>P002</t>
  </si>
  <si>
    <t>Samsung Galaxy S24</t>
  </si>
  <si>
    <t>ORD-0025</t>
  </si>
  <si>
    <t>ORD-0026</t>
  </si>
  <si>
    <t>2024-02-06</t>
  </si>
  <si>
    <t>ORD-0027</t>
  </si>
  <si>
    <t>ORD-0028</t>
  </si>
  <si>
    <t>2024-06-30</t>
  </si>
  <si>
    <t>ORD-0029</t>
  </si>
  <si>
    <t>2024-02-01</t>
  </si>
  <si>
    <t>ORD-0030</t>
  </si>
  <si>
    <t>2024-08-17</t>
  </si>
  <si>
    <t>ORD-0031</t>
  </si>
  <si>
    <t>2024-10-08</t>
  </si>
  <si>
    <t>ORD-0032</t>
  </si>
  <si>
    <t>2024-03-26</t>
  </si>
  <si>
    <t>ORD-0033</t>
  </si>
  <si>
    <t>2024-07-13</t>
  </si>
  <si>
    <t>ORD-0034</t>
  </si>
  <si>
    <t>2024-03-20</t>
  </si>
  <si>
    <t>ORD-0035</t>
  </si>
  <si>
    <t>2024-06-09</t>
  </si>
  <si>
    <t>ORD-0036</t>
  </si>
  <si>
    <t>2024-03-21</t>
  </si>
  <si>
    <t>ORD-0037</t>
  </si>
  <si>
    <t>2024-07-25</t>
  </si>
  <si>
    <t>ORD-0038</t>
  </si>
  <si>
    <t>2024-08-02</t>
  </si>
  <si>
    <t>P010</t>
  </si>
  <si>
    <t>Excel Mastery Guide</t>
  </si>
  <si>
    <t>Wiley</t>
  </si>
  <si>
    <t>ORD-0039</t>
  </si>
  <si>
    <t>2024-05-15</t>
  </si>
  <si>
    <t>ORD-0040</t>
  </si>
  <si>
    <t>2024-01-05</t>
  </si>
  <si>
    <t>ORD-0041</t>
  </si>
  <si>
    <t>2024-03-08</t>
  </si>
  <si>
    <t>Apple Pay</t>
  </si>
  <si>
    <t>ORD-0042</t>
  </si>
  <si>
    <t>2024-12-26</t>
  </si>
  <si>
    <t>ORD-0043</t>
  </si>
  <si>
    <t>ORD-0044</t>
  </si>
  <si>
    <t>2024-04-17</t>
  </si>
  <si>
    <t>ORD-0045</t>
  </si>
  <si>
    <t>2024-11-20</t>
  </si>
  <si>
    <t>P014</t>
  </si>
  <si>
    <t>Carrier 1.5 Ton Split AC</t>
  </si>
  <si>
    <t>Carrier</t>
  </si>
  <si>
    <t>ORD-0046</t>
  </si>
  <si>
    <t>2024-03-23</t>
  </si>
  <si>
    <t>ORD-0047</t>
  </si>
  <si>
    <t>2024-01-19</t>
  </si>
  <si>
    <t>ORD-0048</t>
  </si>
  <si>
    <t>2024-01-21</t>
  </si>
  <si>
    <t>ORD-0049</t>
  </si>
  <si>
    <t>2024-11-13</t>
  </si>
  <si>
    <t>Returned</t>
  </si>
  <si>
    <t>ORD-0050</t>
  </si>
  <si>
    <t>2024-07-30</t>
  </si>
  <si>
    <t>ORD-0051</t>
  </si>
  <si>
    <t>2024-05-16</t>
  </si>
  <si>
    <t>ORD-0052</t>
  </si>
  <si>
    <t>2024-04-12</t>
  </si>
  <si>
    <t>ORD-0053</t>
  </si>
  <si>
    <t>2024-06-17</t>
  </si>
  <si>
    <t>ORD-0054</t>
  </si>
  <si>
    <t>2024-12-13</t>
  </si>
  <si>
    <t>ORD-0055</t>
  </si>
  <si>
    <t>2024-02-25</t>
  </si>
  <si>
    <t>ORD-0056</t>
  </si>
  <si>
    <t>2024-07-16</t>
  </si>
  <si>
    <t>ORD-0057</t>
  </si>
  <si>
    <t>2024-07-05</t>
  </si>
  <si>
    <t>ORD-0058</t>
  </si>
  <si>
    <t>2024-06-02</t>
  </si>
  <si>
    <t>ORD-0059</t>
  </si>
  <si>
    <t>2024-03-06</t>
  </si>
  <si>
    <t>ORD-0060</t>
  </si>
  <si>
    <t>2024-10-07</t>
  </si>
  <si>
    <t>ORD-0061</t>
  </si>
  <si>
    <t>2024-12-01</t>
  </si>
  <si>
    <t>ORD-0062</t>
  </si>
  <si>
    <t>2024-05-25</t>
  </si>
  <si>
    <t>ORD-0063</t>
  </si>
  <si>
    <t>2024-12-10</t>
  </si>
  <si>
    <t>ORD-0064</t>
  </si>
  <si>
    <t>2024-02-07</t>
  </si>
  <si>
    <t>ORD-0065</t>
  </si>
  <si>
    <t>ORD-0066</t>
  </si>
  <si>
    <t>2024-01-26</t>
  </si>
  <si>
    <t>ORD-0067</t>
  </si>
  <si>
    <t>2024-10-13</t>
  </si>
  <si>
    <t>ORD-0068</t>
  </si>
  <si>
    <t>ORD-0069</t>
  </si>
  <si>
    <t>2024-09-23</t>
  </si>
  <si>
    <t>ORD-0070</t>
  </si>
  <si>
    <t>2024-05-19</t>
  </si>
  <si>
    <t>ORD-0071</t>
  </si>
  <si>
    <t>2024-12-27</t>
  </si>
  <si>
    <t>ORD-0072</t>
  </si>
  <si>
    <t>2024-04-15</t>
  </si>
  <si>
    <t>ORD-0073</t>
  </si>
  <si>
    <t>ORD-0074</t>
  </si>
  <si>
    <t>2024-10-02</t>
  </si>
  <si>
    <t>ORD-0075</t>
  </si>
  <si>
    <t>2024-01-15</t>
  </si>
  <si>
    <t>ORD-0076</t>
  </si>
  <si>
    <t>2024-11-14</t>
  </si>
  <si>
    <t>ORD-0077</t>
  </si>
  <si>
    <t>2024-11-25</t>
  </si>
  <si>
    <t>ORD-0078</t>
  </si>
  <si>
    <t>2024-08-20</t>
  </si>
  <si>
    <t>ORD-0079</t>
  </si>
  <si>
    <t>2024-01-10</t>
  </si>
  <si>
    <t>ORD-0080</t>
  </si>
  <si>
    <t>2024-01-16</t>
  </si>
  <si>
    <t>ORD-0081</t>
  </si>
  <si>
    <t>2024-10-15</t>
  </si>
  <si>
    <t>ORD-0082</t>
  </si>
  <si>
    <t>2024-03-24</t>
  </si>
  <si>
    <t>ORD-0083</t>
  </si>
  <si>
    <t>2024-04-11</t>
  </si>
  <si>
    <t>ORD-0084</t>
  </si>
  <si>
    <t>2024-03-02</t>
  </si>
  <si>
    <t>ORD-0085</t>
  </si>
  <si>
    <t>2024-09-16</t>
  </si>
  <si>
    <t>ORD-0086</t>
  </si>
  <si>
    <t>2024-12-28</t>
  </si>
  <si>
    <t>ORD-0087</t>
  </si>
  <si>
    <t>2024-11-11</t>
  </si>
  <si>
    <t>ORD-0088</t>
  </si>
  <si>
    <t>2024-05-17</t>
  </si>
  <si>
    <t>ORD-0089</t>
  </si>
  <si>
    <t>2024-08-25</t>
  </si>
  <si>
    <t>ORD-0090</t>
  </si>
  <si>
    <t>2024-09-06</t>
  </si>
  <si>
    <t>ORD-0091</t>
  </si>
  <si>
    <t>2024-10-11</t>
  </si>
  <si>
    <t>ORD-0092</t>
  </si>
  <si>
    <t>ORD-0093</t>
  </si>
  <si>
    <t>2024-05-30</t>
  </si>
  <si>
    <t>ORD-0094</t>
  </si>
  <si>
    <t>2024-06-25</t>
  </si>
  <si>
    <t>ORD-0095</t>
  </si>
  <si>
    <t>2024-06-05</t>
  </si>
  <si>
    <t>ORD-0096</t>
  </si>
  <si>
    <t>2024-04-08</t>
  </si>
  <si>
    <t>ORD-0097</t>
  </si>
  <si>
    <t>ORD-0098</t>
  </si>
  <si>
    <t>ORD-0099</t>
  </si>
  <si>
    <t>ORD-0100</t>
  </si>
  <si>
    <t>2024-05-09</t>
  </si>
  <si>
    <t>ORD-0101</t>
  </si>
  <si>
    <t>2024-03-17</t>
  </si>
  <si>
    <t>ORD-0102</t>
  </si>
  <si>
    <t>ORD-0103</t>
  </si>
  <si>
    <t>2024-10-28</t>
  </si>
  <si>
    <t>ORD-0104</t>
  </si>
  <si>
    <t>2024-11-16</t>
  </si>
  <si>
    <t>ORD-0105</t>
  </si>
  <si>
    <t>2024-01-02</t>
  </si>
  <si>
    <t>ORD-0106</t>
  </si>
  <si>
    <t>2024-12-25</t>
  </si>
  <si>
    <t>ORD-0107</t>
  </si>
  <si>
    <t>2024-08-05</t>
  </si>
  <si>
    <t>ORD-0108</t>
  </si>
  <si>
    <t>ORD-0109</t>
  </si>
  <si>
    <t>2024-03-04</t>
  </si>
  <si>
    <t>ORD-0110</t>
  </si>
  <si>
    <t>2024-10-03</t>
  </si>
  <si>
    <t>ORD-0111</t>
  </si>
  <si>
    <t>2024-11-05</t>
  </si>
  <si>
    <t>ORD-0112</t>
  </si>
  <si>
    <t>ORD-0113</t>
  </si>
  <si>
    <t>2024-04-02</t>
  </si>
  <si>
    <t>ORD-0114</t>
  </si>
  <si>
    <t>ORD-0115</t>
  </si>
  <si>
    <t>2024-12-05</t>
  </si>
  <si>
    <t>ORD-0116</t>
  </si>
  <si>
    <t>2024-02-29</t>
  </si>
  <si>
    <t>ORD-0117</t>
  </si>
  <si>
    <t>ORD-0118</t>
  </si>
  <si>
    <t>2024-01-27</t>
  </si>
  <si>
    <t>ORD-0119</t>
  </si>
  <si>
    <t>ORD-0120</t>
  </si>
  <si>
    <t>2024-07-27</t>
  </si>
  <si>
    <t>ORD-0121</t>
  </si>
  <si>
    <t>2024-05-29</t>
  </si>
  <si>
    <t>ORD-0122</t>
  </si>
  <si>
    <t>2024-08-21</t>
  </si>
  <si>
    <t>ORD-0123</t>
  </si>
  <si>
    <t>2024-05-21</t>
  </si>
  <si>
    <t>ORD-0124</t>
  </si>
  <si>
    <t>2024-10-23</t>
  </si>
  <si>
    <t>ORD-0125</t>
  </si>
  <si>
    <t>2024-10-05</t>
  </si>
  <si>
    <t>ORD-0126</t>
  </si>
  <si>
    <t>2024-10-19</t>
  </si>
  <si>
    <t>ORD-0127</t>
  </si>
  <si>
    <t>ORD-0128</t>
  </si>
  <si>
    <t>2024-02-21</t>
  </si>
  <si>
    <t>ORD-0129</t>
  </si>
  <si>
    <t>ORD-0130</t>
  </si>
  <si>
    <t>ORD-0131</t>
  </si>
  <si>
    <t>2024-11-12</t>
  </si>
  <si>
    <t>ORD-0132</t>
  </si>
  <si>
    <t>2024-08-15</t>
  </si>
  <si>
    <t>ORD-0133</t>
  </si>
  <si>
    <t>2024-07-02</t>
  </si>
  <si>
    <t>ORD-0134</t>
  </si>
  <si>
    <t>2024-03-30</t>
  </si>
  <si>
    <t>ORD-0135</t>
  </si>
  <si>
    <t>2024-04-28</t>
  </si>
  <si>
    <t>ORD-0136</t>
  </si>
  <si>
    <t>2024-05-27</t>
  </si>
  <si>
    <t>ORD-0137</t>
  </si>
  <si>
    <t>ORD-0138</t>
  </si>
  <si>
    <t>2024-02-24</t>
  </si>
  <si>
    <t>ORD-0139</t>
  </si>
  <si>
    <t>2024-12-03</t>
  </si>
  <si>
    <t>ORD-0140</t>
  </si>
  <si>
    <t>2024-05-26</t>
  </si>
  <si>
    <t>ORD-0141</t>
  </si>
  <si>
    <t>2024-11-17</t>
  </si>
  <si>
    <t>ORD-0142</t>
  </si>
  <si>
    <t>2024-05-31</t>
  </si>
  <si>
    <t>ORD-0143</t>
  </si>
  <si>
    <t>2024-09-28</t>
  </si>
  <si>
    <t>ORD-0144</t>
  </si>
  <si>
    <t>2024-06-22</t>
  </si>
  <si>
    <t>ORD-0145</t>
  </si>
  <si>
    <t>2024-10-12</t>
  </si>
  <si>
    <t>ORD-0146</t>
  </si>
  <si>
    <t>ORD-0147</t>
  </si>
  <si>
    <t>2024-01-13</t>
  </si>
  <si>
    <t>ORD-0148</t>
  </si>
  <si>
    <t>2024-12-24</t>
  </si>
  <si>
    <t>ORD-0149</t>
  </si>
  <si>
    <t>ORD-0150</t>
  </si>
  <si>
    <t>ORD-0151</t>
  </si>
  <si>
    <t>ORD-0152</t>
  </si>
  <si>
    <t>2024-02-20</t>
  </si>
  <si>
    <t>ORD-0153</t>
  </si>
  <si>
    <t>2024-02-16</t>
  </si>
  <si>
    <t>ORD-0154</t>
  </si>
  <si>
    <t>2024-03-05</t>
  </si>
  <si>
    <t>ORD-0155</t>
  </si>
  <si>
    <t>ORD-0156</t>
  </si>
  <si>
    <t>2024-03-07</t>
  </si>
  <si>
    <t>ORD-0157</t>
  </si>
  <si>
    <t>ORD-0158</t>
  </si>
  <si>
    <t>2024-02-28</t>
  </si>
  <si>
    <t>ORD-0159</t>
  </si>
  <si>
    <t>2024-09-14</t>
  </si>
  <si>
    <t>ORD-0160</t>
  </si>
  <si>
    <t>2024-09-02</t>
  </si>
  <si>
    <t>ORD-0161</t>
  </si>
  <si>
    <t>ORD-0162</t>
  </si>
  <si>
    <t>2024-07-14</t>
  </si>
  <si>
    <t>ORD-0163</t>
  </si>
  <si>
    <t>ORD-0164</t>
  </si>
  <si>
    <t>ORD-0165</t>
  </si>
  <si>
    <t>2024-07-10</t>
  </si>
  <si>
    <t>ORD-0166</t>
  </si>
  <si>
    <t>2024-08-09</t>
  </si>
  <si>
    <t>ORD-0167</t>
  </si>
  <si>
    <t>2024-10-14</t>
  </si>
  <si>
    <t>ORD-0168</t>
  </si>
  <si>
    <t>ORD-0169</t>
  </si>
  <si>
    <t>2024-12-02</t>
  </si>
  <si>
    <t>ORD-0170</t>
  </si>
  <si>
    <t>2024-04-25</t>
  </si>
  <si>
    <t>ORD-0171</t>
  </si>
  <si>
    <t>ORD-0172</t>
  </si>
  <si>
    <t>2024-01-04</t>
  </si>
  <si>
    <t>ORD-0173</t>
  </si>
  <si>
    <t>ORD-0174</t>
  </si>
  <si>
    <t>2024-10-17</t>
  </si>
  <si>
    <t>ORD-0175</t>
  </si>
  <si>
    <t>2024-12-11</t>
  </si>
  <si>
    <t>ORD-0176</t>
  </si>
  <si>
    <t>ORD-0177</t>
  </si>
  <si>
    <t>ORD-0178</t>
  </si>
  <si>
    <t>ORD-0179</t>
  </si>
  <si>
    <t>2024-06-16</t>
  </si>
  <si>
    <t>ORD-0180</t>
  </si>
  <si>
    <t>ORD-0181</t>
  </si>
  <si>
    <t>ORD-0182</t>
  </si>
  <si>
    <t>2024-12-29</t>
  </si>
  <si>
    <t>ORD-0183</t>
  </si>
  <si>
    <t>ORD-0184</t>
  </si>
  <si>
    <t>2024-08-11</t>
  </si>
  <si>
    <t>ORD-0185</t>
  </si>
  <si>
    <t>2024-04-23</t>
  </si>
  <si>
    <t>ORD-0186</t>
  </si>
  <si>
    <t>2024-04-09</t>
  </si>
  <si>
    <t>ORD-0187</t>
  </si>
  <si>
    <t>2024-11-04</t>
  </si>
  <si>
    <t>ORD-0188</t>
  </si>
  <si>
    <t>ORD-0189</t>
  </si>
  <si>
    <t>2024-08-14</t>
  </si>
  <si>
    <t>ORD-0190</t>
  </si>
  <si>
    <t>ORD-0191</t>
  </si>
  <si>
    <t>2024-10-31</t>
  </si>
  <si>
    <t>ORD-0192</t>
  </si>
  <si>
    <t>2024-08-18</t>
  </si>
  <si>
    <t>ORD-0193</t>
  </si>
  <si>
    <t>ORD-0194</t>
  </si>
  <si>
    <t>2024-05-06</t>
  </si>
  <si>
    <t>ORD-0195</t>
  </si>
  <si>
    <t>2024-07-17</t>
  </si>
  <si>
    <t>ORD-0196</t>
  </si>
  <si>
    <t>ORD-0197</t>
  </si>
  <si>
    <t>ORD-0198</t>
  </si>
  <si>
    <t>ORD-0199</t>
  </si>
  <si>
    <t>ORD-0200</t>
  </si>
  <si>
    <t>2024-04-19</t>
  </si>
  <si>
    <t>Total Orders</t>
  </si>
  <si>
    <t>Products Catalog</t>
  </si>
  <si>
    <t>Price ($)</t>
  </si>
  <si>
    <t>Stock Status</t>
  </si>
  <si>
    <t>In Stock</t>
  </si>
  <si>
    <t>Out of Stock</t>
  </si>
  <si>
    <t>Low Stock</t>
  </si>
  <si>
    <t>Customers List</t>
  </si>
  <si>
    <t>Full Name</t>
  </si>
  <si>
    <t>Email</t>
  </si>
  <si>
    <t>Total Spent ($)</t>
  </si>
  <si>
    <t>james.anderson@gmail.com</t>
  </si>
  <si>
    <t>emily.j@yahoo.com</t>
  </si>
  <si>
    <t>m.smith@hotmail.com</t>
  </si>
  <si>
    <t>sarah.w@gmail.com</t>
  </si>
  <si>
    <t>david.b@gmail.com</t>
  </si>
  <si>
    <t>jessica.d@gmail.com</t>
  </si>
  <si>
    <t>dan.wilson@yahoo.com</t>
  </si>
  <si>
    <t>ashley.m@gmail.com</t>
  </si>
  <si>
    <t>ryan.t@hotmail.com</t>
  </si>
  <si>
    <t>megan.t@gmail.com</t>
  </si>
  <si>
    <t>Profit ($)</t>
  </si>
  <si>
    <t>Clean date</t>
  </si>
  <si>
    <t>Row Labels</t>
  </si>
  <si>
    <t>Grand Total</t>
  </si>
  <si>
    <t>Jan</t>
  </si>
  <si>
    <t>Feb</t>
  </si>
  <si>
    <t>Mar</t>
  </si>
  <si>
    <t>Apr</t>
  </si>
  <si>
    <t>May</t>
  </si>
  <si>
    <t>Jun</t>
  </si>
  <si>
    <t>Jul</t>
  </si>
  <si>
    <t>Aug</t>
  </si>
  <si>
    <t>Sep</t>
  </si>
  <si>
    <t>Oct</t>
  </si>
  <si>
    <t>Nov</t>
  </si>
  <si>
    <t>Dec</t>
  </si>
  <si>
    <t>Sum of Total ($)</t>
  </si>
  <si>
    <t>Sum of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</si>
</sst>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numFmt numFmtId="165" formatCode="0&quot;%&quot;"/>
    <numFmt numFmtId="166" formatCode="dd/mm/yyyy;@"/>
    <numFmt numFmtId="167" formatCode="&quot;$&quot;#,##0.00"/>
  </numFmts>
  <fonts count="8" x14ac:knownFonts="1">
    <font>
      <sz val="11"/>
      <color theme="1"/>
      <name val="Calibri"/>
      <family val="2"/>
      <scheme val="minor"/>
    </font>
    <font>
      <b/>
      <sz val="15"/>
      <color rgb="FFFFFFFF"/>
      <name val="Arial"/>
      <family val="2"/>
    </font>
    <font>
      <b/>
      <sz val="10"/>
      <color rgb="FFFFFFFF"/>
      <name val="Arial"/>
      <family val="2"/>
    </font>
    <font>
      <sz val="10"/>
      <color rgb="FF1A1A2E"/>
      <name val="Arial"/>
      <family val="2"/>
    </font>
    <font>
      <b/>
      <sz val="10"/>
      <name val="Arial"/>
      <family val="2"/>
    </font>
    <font>
      <b/>
      <sz val="14"/>
      <color rgb="FFFFFFFF"/>
      <name val="Arial"/>
      <family val="2"/>
    </font>
    <font>
      <b/>
      <sz val="10"/>
      <color rgb="FFC0392B"/>
      <name val="Arial"/>
      <family val="2"/>
    </font>
    <font>
      <b/>
      <sz val="10"/>
      <color rgb="FF856404"/>
      <name val="Arial"/>
      <family val="2"/>
    </font>
  </fonts>
  <fills count="14">
    <fill>
      <patternFill patternType="none"/>
    </fill>
    <fill>
      <patternFill patternType="gray125"/>
    </fill>
    <fill>
      <patternFill patternType="solid">
        <fgColor rgb="FF1E3A5F"/>
      </patternFill>
    </fill>
    <fill>
      <patternFill patternType="solid">
        <fgColor rgb="FF2E6DA4"/>
      </patternFill>
    </fill>
    <fill>
      <patternFill patternType="solid">
        <fgColor rgb="FFFFFFFF"/>
      </patternFill>
    </fill>
    <fill>
      <patternFill patternType="solid">
        <fgColor rgb="FFD4EDDA"/>
      </patternFill>
    </fill>
    <fill>
      <patternFill patternType="solid">
        <fgColor rgb="FFF5F5F5"/>
      </patternFill>
    </fill>
    <fill>
      <patternFill patternType="solid">
        <fgColor rgb="FFF8D7DA"/>
      </patternFill>
    </fill>
    <fill>
      <patternFill patternType="solid">
        <fgColor rgb="FFCCE5FF"/>
      </patternFill>
    </fill>
    <fill>
      <patternFill patternType="solid">
        <fgColor rgb="FFFFF3CD"/>
      </patternFill>
    </fill>
    <fill>
      <patternFill patternType="solid">
        <fgColor rgb="FFE2D9F3"/>
      </patternFill>
    </fill>
    <fill>
      <patternFill patternType="solid">
        <fgColor rgb="FFD6E4F0"/>
      </patternFill>
    </fill>
    <fill>
      <patternFill patternType="solid">
        <fgColor rgb="FF002060"/>
        <bgColor indexed="64"/>
      </patternFill>
    </fill>
    <fill>
      <patternFill patternType="solid">
        <fgColor theme="0" tint="-0.249977111117893"/>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164" fontId="3" fillId="4" borderId="1" xfId="0" applyNumberFormat="1" applyFont="1" applyFill="1" applyBorder="1" applyAlignment="1">
      <alignment horizontal="center" vertical="center"/>
    </xf>
    <xf numFmtId="165" fontId="3" fillId="4"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3" fillId="6" borderId="1" xfId="0" applyFont="1" applyFill="1" applyBorder="1" applyAlignment="1">
      <alignment horizontal="center" vertical="center"/>
    </xf>
    <xf numFmtId="164" fontId="3" fillId="6" borderId="1" xfId="0" applyNumberFormat="1" applyFont="1" applyFill="1" applyBorder="1" applyAlignment="1">
      <alignment horizontal="center" vertical="center"/>
    </xf>
    <xf numFmtId="165" fontId="3" fillId="6" borderId="1" xfId="0" applyNumberFormat="1"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3" fillId="11" borderId="1" xfId="0" applyFont="1" applyFill="1" applyBorder="1" applyAlignment="1">
      <alignment horizontal="center" vertical="center"/>
    </xf>
    <xf numFmtId="164" fontId="3" fillId="11" borderId="1" xfId="0" applyNumberFormat="1" applyFont="1" applyFill="1" applyBorder="1" applyAlignment="1">
      <alignment horizontal="center" vertical="center"/>
    </xf>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xf>
    <xf numFmtId="14" fontId="2" fillId="3" borderId="1" xfId="0" applyNumberFormat="1" applyFont="1" applyFill="1" applyBorder="1" applyAlignment="1">
      <alignment horizontal="center" vertical="center" wrapText="1"/>
    </xf>
    <xf numFmtId="14" fontId="0" fillId="0" borderId="0" xfId="0" applyNumberFormat="1"/>
    <xf numFmtId="0" fontId="0" fillId="12" borderId="0" xfId="0" applyFill="1"/>
    <xf numFmtId="166" fontId="3" fillId="4" borderId="1" xfId="0" applyNumberFormat="1" applyFont="1" applyFill="1" applyBorder="1" applyAlignment="1">
      <alignment horizontal="center" vertical="center"/>
    </xf>
    <xf numFmtId="166" fontId="3" fillId="6" borderId="1" xfId="0" applyNumberFormat="1" applyFont="1" applyFill="1" applyBorder="1" applyAlignment="1">
      <alignment horizontal="center" vertical="center"/>
    </xf>
    <xf numFmtId="167" fontId="0" fillId="0" borderId="0" xfId="0" applyNumberFormat="1"/>
    <xf numFmtId="167" fontId="3" fillId="4" borderId="1" xfId="0" applyNumberFormat="1" applyFont="1" applyFill="1" applyBorder="1" applyAlignment="1">
      <alignment horizontal="center" vertical="center"/>
    </xf>
    <xf numFmtId="167" fontId="3" fillId="6" borderId="1" xfId="0" applyNumberFormat="1" applyFont="1" applyFill="1" applyBorder="1" applyAlignment="1">
      <alignment horizontal="center" vertical="center"/>
    </xf>
    <xf numFmtId="167" fontId="0" fillId="0" borderId="0" xfId="0" applyNumberFormat="1"/>
    <xf numFmtId="167" fontId="2" fillId="3"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13" borderId="0" xfId="0" applyFill="1"/>
    <xf numFmtId="0" fontId="1" fillId="2" borderId="0" xfId="0" applyFont="1" applyFill="1" applyAlignment="1">
      <alignment horizontal="center" vertical="center"/>
    </xf>
    <xf numFmtId="0" fontId="0" fillId="0" borderId="0" xfId="0"/>
    <xf numFmtId="167" fontId="0" fillId="0" borderId="0" xfId="0" applyNumberFormat="1"/>
    <xf numFmtId="0" fontId="5" fillId="2" borderId="0" xfId="0" applyFont="1" applyFill="1" applyAlignment="1">
      <alignment horizontal="center" vertical="center"/>
    </xf>
  </cellXfs>
  <cellStyles count="1">
    <cellStyle name="Normal" xfId="0" builtinId="0"/>
  </cellStyles>
  <dxfs count="7">
    <dxf>
      <numFmt numFmtId="167" formatCode="&quot;$&quot;#,##0.00"/>
    </dxf>
    <dxf>
      <numFmt numFmtId="167" formatCode="&quot;$&quot;#,##0.00"/>
    </dxf>
    <dxf>
      <numFmt numFmtId="167" formatCode="&quot;$&quot;#,##0.00"/>
    </dxf>
    <dxf>
      <font>
        <sz val="18"/>
        <name val="Segoe UI Variable Display Semib"/>
        <scheme val="none"/>
      </font>
      <border diagonalUp="0" diagonalDown="0">
        <left/>
        <right/>
        <top/>
        <bottom/>
        <vertical/>
        <horizontal/>
      </border>
    </dxf>
    <dxf>
      <fill>
        <patternFill>
          <bgColor theme="4"/>
        </patternFill>
      </fill>
      <border diagonalUp="0" diagonalDown="0">
        <left/>
        <right/>
        <top/>
        <bottom/>
        <vertical/>
        <horizontal/>
      </border>
    </dxf>
    <dxf>
      <font>
        <sz val="16"/>
        <color theme="1"/>
        <name val="Segoe UI Variable Display Semib"/>
        <scheme val="none"/>
      </font>
      <border diagonalUp="0" diagonalDown="0">
        <left/>
        <right/>
        <top/>
        <bottom/>
        <vertical/>
        <horizontal/>
      </border>
    </dxf>
    <dxf>
      <fill>
        <patternFill>
          <bgColor theme="4"/>
        </patternFill>
      </fill>
      <border diagonalUp="0" diagonalDown="0">
        <left/>
        <right/>
        <top/>
        <bottom/>
        <vertical/>
        <horizontal/>
      </border>
    </dxf>
  </dxfs>
  <tableStyles count="2" defaultTableStyle="TableStyleMedium9" defaultPivotStyle="PivotStyleLight16">
    <tableStyle name="Slicer Style 1" pivot="0" table="0" count="10">
      <tableStyleElement type="wholeTable" dxfId="6"/>
      <tableStyleElement type="headerRow" dxfId="5"/>
    </tableStyle>
    <tableStyle name="Slicer Style 2" pivot="0" table="0" count="9">
      <tableStyleElement type="wholeTable" dxfId="4"/>
      <tableStyleElement type="headerRow" dxfId="3"/>
    </tableStyle>
  </tableStyles>
  <extLst>
    <ext xmlns:x14="http://schemas.microsoft.com/office/spreadsheetml/2009/9/main" uri="{46F421CA-312F-682f-3DD2-61675219B42D}">
      <x14:dxfs count="15">
        <dxf>
          <fill>
            <patternFill>
              <bgColor theme="4" tint="0.79998168889431442"/>
            </patternFill>
          </fill>
        </dxf>
        <dxf>
          <fill>
            <patternFill>
              <bgColor theme="4" tint="0.59996337778862885"/>
            </patternFill>
          </fill>
        </dxf>
        <dxf>
          <fill>
            <patternFill>
              <bgColor theme="0"/>
            </patternFill>
          </fill>
        </dxf>
        <dxf>
          <fill>
            <patternFill>
              <bgColor theme="4" tint="0.79998168889431442"/>
            </patternFill>
          </fill>
        </dxf>
        <dxf>
          <fill>
            <patternFill>
              <bgColor theme="4" tint="0.59996337778862885"/>
            </patternFill>
          </fill>
          <border diagonalUp="0" diagonalDown="0">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0"/>
            </patternFill>
          </fill>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[ecommerce_dataset_EN.xlsx]Pivot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r>
              <a:rPr lang="en-US" baseline="0"/>
              <a:t>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"$"#,##0.00</c:formatCode>
                <c:ptCount val="12"/>
                <c:pt idx="0">
                  <c:v>15963.300000000001</c:v>
                </c:pt>
                <c:pt idx="1">
                  <c:v>16111.3</c:v>
                </c:pt>
                <c:pt idx="2">
                  <c:v>15601.65</c:v>
                </c:pt>
                <c:pt idx="3">
                  <c:v>8866.7999999999993</c:v>
                </c:pt>
                <c:pt idx="4">
                  <c:v>15388.349999999999</c:v>
                </c:pt>
                <c:pt idx="5">
                  <c:v>12602</c:v>
                </c:pt>
                <c:pt idx="6">
                  <c:v>20378.100000000002</c:v>
                </c:pt>
                <c:pt idx="7">
                  <c:v>13171.2</c:v>
                </c:pt>
                <c:pt idx="8">
                  <c:v>15655.099999999999</c:v>
                </c:pt>
                <c:pt idx="9">
                  <c:v>22895.9</c:v>
                </c:pt>
                <c:pt idx="10">
                  <c:v>32413.15</c:v>
                </c:pt>
                <c:pt idx="11">
                  <c:v>27851.599999999995</c:v>
                </c:pt>
              </c:numCache>
            </c:numRef>
          </c:val>
          <c:smooth val="0"/>
          <c:extLst>
            <c:ext xmlns:c16="http://schemas.microsoft.com/office/drawing/2014/chart" uri="{C3380CC4-5D6E-409C-BE32-E72D297353CC}">
              <c16:uniqueId val="{00000000-15B2-4A51-8707-5AD57F47A5F6}"/>
            </c:ext>
          </c:extLst>
        </c:ser>
        <c:dLbls>
          <c:showLegendKey val="0"/>
          <c:showVal val="0"/>
          <c:showCatName val="0"/>
          <c:showSerName val="0"/>
          <c:showPercent val="0"/>
          <c:showBubbleSize val="0"/>
        </c:dLbls>
        <c:smooth val="0"/>
        <c:axId val="744763600"/>
        <c:axId val="744765568"/>
      </c:lineChart>
      <c:catAx>
        <c:axId val="74476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765568"/>
        <c:crosses val="autoZero"/>
        <c:auto val="1"/>
        <c:lblAlgn val="ctr"/>
        <c:lblOffset val="100"/>
        <c:noMultiLvlLbl val="0"/>
      </c:catAx>
      <c:valAx>
        <c:axId val="744765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763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[ecommerce_dataset_EN.xlsx]Pivot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Table'!$E$1</c:f>
              <c:strCache>
                <c:ptCount val="1"/>
                <c:pt idx="0">
                  <c:v>Total</c:v>
                </c:pt>
              </c:strCache>
            </c:strRef>
          </c:tx>
          <c:spPr>
            <a:solidFill>
              <a:schemeClr val="accent1"/>
            </a:solidFill>
            <a:ln>
              <a:noFill/>
            </a:ln>
            <a:effectLst/>
          </c:spPr>
          <c:invertIfNegative val="0"/>
          <c:cat>
            <c:strRef>
              <c:f>'Pivot Table'!$D$2:$D$17</c:f>
              <c:strCache>
                <c:ptCount val="15"/>
                <c:pt idx="0">
                  <c:v>Adidas Ultraboost 22</c:v>
                </c:pt>
                <c:pt idx="1">
                  <c:v>Carrier 1.5 Ton Split AC</c:v>
                </c:pt>
                <c:pt idx="2">
                  <c:v>Casio G-Shock Watch</c:v>
                </c:pt>
                <c:pt idx="3">
                  <c:v>Chanel No.5 Perfume</c:v>
                </c:pt>
                <c:pt idx="4">
                  <c:v>Cotton T-Shirt</c:v>
                </c:pt>
                <c:pt idx="5">
                  <c:v>Dell XPS Laptop</c:v>
                </c:pt>
                <c:pt idx="6">
                  <c:v>Excel Mastery Guide</c:v>
                </c:pt>
                <c:pt idx="7">
                  <c:v>iPhone 15 Pro</c:v>
                </c:pt>
                <c:pt idx="8">
                  <c:v>Nike Air Max 270</c:v>
                </c:pt>
                <c:pt idx="9">
                  <c:v>Nivea Moisturizing Cream</c:v>
                </c:pt>
                <c:pt idx="10">
                  <c:v>Python for Beginners</c:v>
                </c:pt>
                <c:pt idx="11">
                  <c:v>Samsung 500L Refrigerator</c:v>
                </c:pt>
                <c:pt idx="12">
                  <c:v>Samsung Galaxy S24</c:v>
                </c:pt>
                <c:pt idx="13">
                  <c:v>Slim Fit Jeans</c:v>
                </c:pt>
                <c:pt idx="14">
                  <c:v>Sony WH-1000XM5 Headphones</c:v>
                </c:pt>
              </c:strCache>
            </c:strRef>
          </c:cat>
          <c:val>
            <c:numRef>
              <c:f>'Pivot Table'!$E$2:$E$17</c:f>
              <c:numCache>
                <c:formatCode>"$"#,##0.00</c:formatCode>
                <c:ptCount val="15"/>
                <c:pt idx="0">
                  <c:v>1128.5999999999999</c:v>
                </c:pt>
                <c:pt idx="1">
                  <c:v>4065</c:v>
                </c:pt>
                <c:pt idx="2">
                  <c:v>907.19999999999993</c:v>
                </c:pt>
                <c:pt idx="3">
                  <c:v>2441.6000000000004</c:v>
                </c:pt>
                <c:pt idx="4">
                  <c:v>222.42999999999998</c:v>
                </c:pt>
                <c:pt idx="5">
                  <c:v>7832.9700000000012</c:v>
                </c:pt>
                <c:pt idx="6">
                  <c:v>238</c:v>
                </c:pt>
                <c:pt idx="7">
                  <c:v>7742.2500000000009</c:v>
                </c:pt>
                <c:pt idx="8">
                  <c:v>2277</c:v>
                </c:pt>
                <c:pt idx="9">
                  <c:v>160.20000000000002</c:v>
                </c:pt>
                <c:pt idx="10">
                  <c:v>159.25</c:v>
                </c:pt>
                <c:pt idx="11">
                  <c:v>5148</c:v>
                </c:pt>
                <c:pt idx="12">
                  <c:v>7309.89</c:v>
                </c:pt>
                <c:pt idx="13">
                  <c:v>511.92000000000007</c:v>
                </c:pt>
                <c:pt idx="14">
                  <c:v>3008.38</c:v>
                </c:pt>
              </c:numCache>
            </c:numRef>
          </c:val>
          <c:extLst>
            <c:ext xmlns:c16="http://schemas.microsoft.com/office/drawing/2014/chart" uri="{C3380CC4-5D6E-409C-BE32-E72D297353CC}">
              <c16:uniqueId val="{00000000-BBEE-453F-A42E-F3621CFDFBC0}"/>
            </c:ext>
          </c:extLst>
        </c:ser>
        <c:dLbls>
          <c:showLegendKey val="0"/>
          <c:showVal val="0"/>
          <c:showCatName val="0"/>
          <c:showSerName val="0"/>
          <c:showPercent val="0"/>
          <c:showBubbleSize val="0"/>
        </c:dLbls>
        <c:gapWidth val="219"/>
        <c:overlap val="-27"/>
        <c:axId val="745202824"/>
        <c:axId val="745200200"/>
      </c:barChart>
      <c:catAx>
        <c:axId val="745202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00200"/>
        <c:crosses val="autoZero"/>
        <c:auto val="1"/>
        <c:lblAlgn val="ctr"/>
        <c:lblOffset val="100"/>
        <c:noMultiLvlLbl val="0"/>
      </c:catAx>
      <c:valAx>
        <c:axId val="745200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02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[ecommerce_dataset_EN.xlsx]Pivot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Table'!$G$2:$G$10</c:f>
              <c:strCache>
                <c:ptCount val="8"/>
                <c:pt idx="0">
                  <c:v>Beauty</c:v>
                </c:pt>
                <c:pt idx="1">
                  <c:v>Books</c:v>
                </c:pt>
                <c:pt idx="2">
                  <c:v>Clothing</c:v>
                </c:pt>
                <c:pt idx="3">
                  <c:v>Electronics</c:v>
                </c:pt>
                <c:pt idx="4">
                  <c:v>Home Appliances</c:v>
                </c:pt>
                <c:pt idx="5">
                  <c:v>Perfumes</c:v>
                </c:pt>
                <c:pt idx="6">
                  <c:v>Shoes</c:v>
                </c:pt>
                <c:pt idx="7">
                  <c:v>Watches</c:v>
                </c:pt>
              </c:strCache>
            </c:strRef>
          </c:cat>
          <c:val>
            <c:numRef>
              <c:f>'Pivot Table'!$H$2:$H$10</c:f>
              <c:numCache>
                <c:formatCode>"$"#,##0.00</c:formatCode>
                <c:ptCount val="8"/>
                <c:pt idx="0">
                  <c:v>910.99999999999989</c:v>
                </c:pt>
                <c:pt idx="1">
                  <c:v>2091.25</c:v>
                </c:pt>
                <c:pt idx="2">
                  <c:v>3776.75</c:v>
                </c:pt>
                <c:pt idx="3">
                  <c:v>129772.45</c:v>
                </c:pt>
                <c:pt idx="4">
                  <c:v>46220</c:v>
                </c:pt>
                <c:pt idx="5">
                  <c:v>12273</c:v>
                </c:pt>
                <c:pt idx="6">
                  <c:v>17273</c:v>
                </c:pt>
                <c:pt idx="7">
                  <c:v>4581</c:v>
                </c:pt>
              </c:numCache>
            </c:numRef>
          </c:val>
          <c:extLst>
            <c:ext xmlns:c16="http://schemas.microsoft.com/office/drawing/2014/chart" uri="{C3380CC4-5D6E-409C-BE32-E72D297353CC}">
              <c16:uniqueId val="{00000000-4801-4581-9AA6-E5895CE038BC}"/>
            </c:ext>
          </c:extLst>
        </c:ser>
        <c:dLbls>
          <c:dLblPos val="outEnd"/>
          <c:showLegendKey val="0"/>
          <c:showVal val="1"/>
          <c:showCatName val="0"/>
          <c:showSerName val="0"/>
          <c:showPercent val="0"/>
          <c:showBubbleSize val="0"/>
        </c:dLbls>
        <c:gapWidth val="182"/>
        <c:axId val="543997360"/>
        <c:axId val="543994080"/>
      </c:barChart>
      <c:catAx>
        <c:axId val="54399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94080"/>
        <c:crosses val="autoZero"/>
        <c:auto val="1"/>
        <c:lblAlgn val="ctr"/>
        <c:lblOffset val="100"/>
        <c:noMultiLvlLbl val="0"/>
      </c:catAx>
      <c:valAx>
        <c:axId val="5439940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97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[ecommerce_dataset_EN.xlsx]Pivot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6111111111111013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dLbl>
          <c:idx val="0"/>
          <c:layout>
            <c:manualLayout>
              <c:x val="6.666666666666656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dLbl>
          <c:idx val="0"/>
          <c:layout>
            <c:manualLayout>
              <c:x val="4.1666666666666664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
        <c:idx val="4"/>
        <c:spPr>
          <a:solidFill>
            <a:schemeClr val="accent1"/>
          </a:solidFill>
          <a:ln w="19050">
            <a:solidFill>
              <a:schemeClr val="lt1"/>
            </a:solidFill>
          </a:ln>
          <a:effectLst/>
        </c:spPr>
        <c:dLbl>
          <c:idx val="0"/>
          <c:layout>
            <c:manualLayout>
              <c:x val="-1.666666666666671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dLbl>
          <c:idx val="0"/>
          <c:layout>
            <c:manualLayout>
              <c:x val="-5.55555555555555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dLbl>
          <c:idx val="0"/>
          <c:layout>
            <c:manualLayout>
              <c:x val="-7.222222222222221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dLbl>
          <c:idx val="0"/>
          <c:layout>
            <c:manualLayout>
              <c:x val="-6.6666666666666693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dLbl>
          <c:idx val="0"/>
          <c:layout>
            <c:manualLayout>
              <c:x val="-7.777777777777777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dLbl>
          <c:idx val="0"/>
          <c:layout>
            <c:manualLayout>
              <c:x val="-1.111111111111116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dLbl>
          <c:idx val="0"/>
          <c:layout>
            <c:manualLayout>
              <c:x val="3.6111111111111059E-2"/>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ext>
          </c:extLst>
        </c:dLbl>
      </c:pivotFmt>
    </c:pivotFmts>
    <c:plotArea>
      <c:layout>
        <c:manualLayout>
          <c:layoutTarget val="inner"/>
          <c:xMode val="edge"/>
          <c:yMode val="edge"/>
          <c:x val="0.20312795275590551"/>
          <c:y val="0.20814523184601924"/>
          <c:w val="0.40047572178477692"/>
          <c:h val="0.66745953630796151"/>
        </c:manualLayout>
      </c:layout>
      <c:doughnutChart>
        <c:varyColors val="1"/>
        <c:ser>
          <c:idx val="0"/>
          <c:order val="0"/>
          <c:tx>
            <c:strRef>
              <c:f>'Pivot Table'!$K$1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F4-43CD-93CD-CBB4425D07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9F4-43CD-93CD-CBB4425D07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9F4-43CD-93CD-CBB4425D07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29F4-43CD-93CD-CBB4425D07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29F4-43CD-93CD-CBB4425D07C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29F4-43CD-93CD-CBB4425D07C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29F4-43CD-93CD-CBB4425D07C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29F4-43CD-93CD-CBB4425D07C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29F4-43CD-93CD-CBB4425D07C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29F4-43CD-93CD-CBB4425D07C9}"/>
              </c:ext>
            </c:extLst>
          </c:dPt>
          <c:dLbls>
            <c:dLbl>
              <c:idx val="0"/>
              <c:layout>
                <c:manualLayout>
                  <c:x val="3.6111111111111059E-2"/>
                  <c:y val="-9.2592592592592615E-2"/>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29F4-43CD-93CD-CBB4425D07C9}"/>
                </c:ext>
              </c:extLst>
            </c:dLbl>
            <c:dLbl>
              <c:idx val="1"/>
              <c:layout>
                <c:manualLayout>
                  <c:x val="8.6111111111111013E-2"/>
                  <c:y val="-9.2592592592592587E-3"/>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2-29F4-43CD-93CD-CBB4425D07C9}"/>
                </c:ext>
              </c:extLst>
            </c:dLbl>
            <c:dLbl>
              <c:idx val="2"/>
              <c:layout>
                <c:manualLayout>
                  <c:x val="6.6666666666666569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29F4-43CD-93CD-CBB4425D07C9}"/>
                </c:ext>
              </c:extLst>
            </c:dLbl>
            <c:dLbl>
              <c:idx val="3"/>
              <c:layout>
                <c:manualLayout>
                  <c:x val="4.1666666666666664E-2"/>
                  <c:y val="8.3333333333333162E-2"/>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4-29F4-43CD-93CD-CBB4425D07C9}"/>
                </c:ext>
              </c:extLst>
            </c:dLbl>
            <c:dLbl>
              <c:idx val="4"/>
              <c:layout>
                <c:manualLayout>
                  <c:x val="-1.6666666666666718E-2"/>
                  <c:y val="9.2592592592592587E-2"/>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5-29F4-43CD-93CD-CBB4425D07C9}"/>
                </c:ext>
              </c:extLst>
            </c:dLbl>
            <c:dLbl>
              <c:idx val="5"/>
              <c:layout>
                <c:manualLayout>
                  <c:x val="-5.555555555555558E-2"/>
                  <c:y val="7.8703703703703706E-2"/>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6-29F4-43CD-93CD-CBB4425D07C9}"/>
                </c:ext>
              </c:extLst>
            </c:dLbl>
            <c:dLbl>
              <c:idx val="6"/>
              <c:layout>
                <c:manualLayout>
                  <c:x val="-7.2222222222222215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7-29F4-43CD-93CD-CBB4425D07C9}"/>
                </c:ext>
              </c:extLst>
            </c:dLbl>
            <c:dLbl>
              <c:idx val="7"/>
              <c:layout>
                <c:manualLayout>
                  <c:x val="-7.7777777777777779E-2"/>
                  <c:y val="0"/>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9-29F4-43CD-93CD-CBB4425D07C9}"/>
                </c:ext>
              </c:extLst>
            </c:dLbl>
            <c:dLbl>
              <c:idx val="8"/>
              <c:layout>
                <c:manualLayout>
                  <c:x val="-6.6666666666666693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8-29F4-43CD-93CD-CBB4425D07C9}"/>
                </c:ext>
              </c:extLst>
            </c:dLbl>
            <c:dLbl>
              <c:idx val="9"/>
              <c:layout>
                <c:manualLayout>
                  <c:x val="-1.1111111111111162E-2"/>
                  <c:y val="-9.2592592592592587E-2"/>
                </c:manualLayout>
              </c:layout>
              <c:showLegendKey val="0"/>
              <c:showVal val="0"/>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A-29F4-43CD-93CD-CBB4425D07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Table'!$J$2:$J$12</c:f>
              <c:strCache>
                <c:ptCount val="10"/>
                <c:pt idx="0">
                  <c:v>Ashley Moore</c:v>
                </c:pt>
                <c:pt idx="1">
                  <c:v>Daniel Wilson</c:v>
                </c:pt>
                <c:pt idx="2">
                  <c:v>David Brown</c:v>
                </c:pt>
                <c:pt idx="3">
                  <c:v>Emily Johnson</c:v>
                </c:pt>
                <c:pt idx="4">
                  <c:v>James Anderson</c:v>
                </c:pt>
                <c:pt idx="5">
                  <c:v>Jessica Davis</c:v>
                </c:pt>
                <c:pt idx="6">
                  <c:v>Megan Thomas</c:v>
                </c:pt>
                <c:pt idx="7">
                  <c:v>Michael Smith</c:v>
                </c:pt>
                <c:pt idx="8">
                  <c:v>Ryan Taylor</c:v>
                </c:pt>
                <c:pt idx="9">
                  <c:v>Sarah Williams</c:v>
                </c:pt>
              </c:strCache>
            </c:strRef>
          </c:cat>
          <c:val>
            <c:numRef>
              <c:f>'Pivot Table'!$K$2:$K$12</c:f>
              <c:numCache>
                <c:formatCode>"$"#,##0.00</c:formatCode>
                <c:ptCount val="10"/>
                <c:pt idx="0">
                  <c:v>23599.699999999997</c:v>
                </c:pt>
                <c:pt idx="1">
                  <c:v>39828.05000000001</c:v>
                </c:pt>
                <c:pt idx="2">
                  <c:v>15006.85</c:v>
                </c:pt>
                <c:pt idx="3">
                  <c:v>30368.05</c:v>
                </c:pt>
                <c:pt idx="4">
                  <c:v>15016.45</c:v>
                </c:pt>
                <c:pt idx="5">
                  <c:v>20014.650000000001</c:v>
                </c:pt>
                <c:pt idx="6">
                  <c:v>15088.7</c:v>
                </c:pt>
                <c:pt idx="7">
                  <c:v>14779.3</c:v>
                </c:pt>
                <c:pt idx="8">
                  <c:v>29715.600000000002</c:v>
                </c:pt>
                <c:pt idx="9">
                  <c:v>13481.099999999999</c:v>
                </c:pt>
              </c:numCache>
            </c:numRef>
          </c:val>
          <c:extLst>
            <c:ext xmlns:c16="http://schemas.microsoft.com/office/drawing/2014/chart" uri="{C3380CC4-5D6E-409C-BE32-E72D297353CC}">
              <c16:uniqueId val="{00000000-29F4-43CD-93CD-CBB4425D07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flat" dir="t"/>
    </a:scene3d>
    <a:sp3d prstMaterial="meta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[ecommerce_dataset_EN.xlsx]Pivot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dLbl>
          <c:idx val="0"/>
          <c:layout>
            <c:manualLayout>
              <c:x val="8.6111111111111013E-2"/>
              <c:y val="-9.2592592592592587E-3"/>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dLbl>
          <c:idx val="0"/>
          <c:layout>
            <c:manualLayout>
              <c:x val="6.6666666666666569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3"/>
        <c:dLbl>
          <c:idx val="0"/>
          <c:layout>
            <c:manualLayout>
              <c:x val="4.1666666666666664E-2"/>
              <c:y val="8.333333333333316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dLbl>
          <c:idx val="0"/>
          <c:layout>
            <c:manualLayout>
              <c:x val="-1.6666666666666718E-2"/>
              <c:y val="9.2592592592592587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5"/>
        <c:dLbl>
          <c:idx val="0"/>
          <c:layout>
            <c:manualLayout>
              <c:x val="-5.555555555555558E-2"/>
              <c:y val="7.8703703703703706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6"/>
        <c:dLbl>
          <c:idx val="0"/>
          <c:layout>
            <c:manualLayout>
              <c:x val="-7.2222222222222215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dLbl>
          <c:idx val="0"/>
          <c:layout>
            <c:manualLayout>
              <c:x val="-6.6666666666666693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8"/>
        <c:dLbl>
          <c:idx val="0"/>
          <c:layout>
            <c:manualLayout>
              <c:x val="-7.7777777777777779E-2"/>
              <c:y val="0"/>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9"/>
        <c:dLbl>
          <c:idx val="0"/>
          <c:layout>
            <c:manualLayout>
              <c:x val="-1.1111111111111162E-2"/>
              <c:y val="-9.2592592592592587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10"/>
        <c:dLbl>
          <c:idx val="0"/>
          <c:layout>
            <c:manualLayout>
              <c:x val="3.6111111111111059E-2"/>
              <c:y val="-9.2592592592592615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11"/>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12"/>
        <c:dLbl>
          <c:idx val="0"/>
          <c:layout>
            <c:manualLayout>
              <c:x val="3.6111111111111059E-2"/>
              <c:y val="-9.2592592592592615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13"/>
        <c:dLbl>
          <c:idx val="0"/>
          <c:layout>
            <c:manualLayout>
              <c:x val="8.6111111111111013E-2"/>
              <c:y val="-9.2592592592592587E-3"/>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14"/>
        <c:dLbl>
          <c:idx val="0"/>
          <c:layout>
            <c:manualLayout>
              <c:x val="6.6666666666666569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15"/>
        <c:dLbl>
          <c:idx val="0"/>
          <c:layout>
            <c:manualLayout>
              <c:x val="4.1666666666666664E-2"/>
              <c:y val="8.333333333333316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16"/>
        <c:dLbl>
          <c:idx val="0"/>
          <c:layout>
            <c:manualLayout>
              <c:x val="-1.6666666666666718E-2"/>
              <c:y val="9.2592592592592587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17"/>
        <c:dLbl>
          <c:idx val="0"/>
          <c:layout>
            <c:manualLayout>
              <c:x val="-5.555555555555558E-2"/>
              <c:y val="7.8703703703703706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18"/>
        <c:dLbl>
          <c:idx val="0"/>
          <c:layout>
            <c:manualLayout>
              <c:x val="-7.2222222222222215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19"/>
        <c:dLbl>
          <c:idx val="0"/>
          <c:layout>
            <c:manualLayout>
              <c:x val="-7.7777777777777779E-2"/>
              <c:y val="0"/>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0"/>
        <c:dLbl>
          <c:idx val="0"/>
          <c:layout>
            <c:manualLayout>
              <c:x val="-6.6666666666666693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1"/>
        <c:dLbl>
          <c:idx val="0"/>
          <c:layout>
            <c:manualLayout>
              <c:x val="-1.1111111111111162E-2"/>
              <c:y val="-9.2592592592592587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2"/>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23"/>
        <c:dLbl>
          <c:idx val="0"/>
          <c:layout>
            <c:manualLayout>
              <c:x val="3.6111111111111059E-2"/>
              <c:y val="-9.2592592592592615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4"/>
        <c:dLbl>
          <c:idx val="0"/>
          <c:layout>
            <c:manualLayout>
              <c:x val="8.6111111111111013E-2"/>
              <c:y val="-9.2592592592592587E-3"/>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5"/>
        <c:dLbl>
          <c:idx val="0"/>
          <c:layout>
            <c:manualLayout>
              <c:x val="6.6666666666666569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6"/>
        <c:dLbl>
          <c:idx val="0"/>
          <c:layout>
            <c:manualLayout>
              <c:x val="4.1666666666666664E-2"/>
              <c:y val="8.333333333333316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7"/>
        <c:dLbl>
          <c:idx val="0"/>
          <c:layout>
            <c:manualLayout>
              <c:x val="-1.6666666666666718E-2"/>
              <c:y val="9.2592592592592587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8"/>
        <c:dLbl>
          <c:idx val="0"/>
          <c:layout>
            <c:manualLayout>
              <c:x val="-5.555555555555558E-2"/>
              <c:y val="7.8703703703703706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29"/>
        <c:dLbl>
          <c:idx val="0"/>
          <c:layout>
            <c:manualLayout>
              <c:x val="-7.2222222222222215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30"/>
        <c:dLbl>
          <c:idx val="0"/>
          <c:layout>
            <c:manualLayout>
              <c:x val="-7.7777777777777779E-2"/>
              <c:y val="0"/>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31"/>
        <c:dLbl>
          <c:idx val="0"/>
          <c:layout>
            <c:manualLayout>
              <c:x val="-6.6666666666666693E-2"/>
              <c:y val="-6.0185185185185182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32"/>
        <c:dLbl>
          <c:idx val="0"/>
          <c:layout>
            <c:manualLayout>
              <c:x val="-1.1111111111111162E-2"/>
              <c:y val="-9.2592592592592587E-2"/>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6.7464047872180716E-2"/>
              <c:y val="-3.4855318409280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5"/>
        <c:spPr>
          <a:solidFill>
            <a:schemeClr val="accent1"/>
          </a:solidFill>
          <a:ln w="19050">
            <a:solidFill>
              <a:schemeClr val="lt1"/>
            </a:solidFill>
          </a:ln>
          <a:effectLst/>
        </c:spPr>
        <c:dLbl>
          <c:idx val="0"/>
          <c:layout>
            <c:manualLayout>
              <c:x val="6.0485008437127549E-2"/>
              <c:y val="4.6473757879040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6"/>
        <c:spPr>
          <a:solidFill>
            <a:schemeClr val="accent1"/>
          </a:solidFill>
          <a:ln w="19050">
            <a:solidFill>
              <a:schemeClr val="lt1"/>
            </a:solidFill>
          </a:ln>
          <a:effectLst/>
        </c:spPr>
        <c:dLbl>
          <c:idx val="0"/>
          <c:layout>
            <c:manualLayout>
              <c:x val="3.2568850696914786E-2"/>
              <c:y val="9.2947515758080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7"/>
        <c:spPr>
          <a:solidFill>
            <a:schemeClr val="accent1"/>
          </a:solidFill>
          <a:ln w="19050">
            <a:solidFill>
              <a:schemeClr val="lt1"/>
            </a:solidFill>
          </a:ln>
          <a:effectLst/>
        </c:spPr>
        <c:dLbl>
          <c:idx val="0"/>
          <c:layout>
            <c:manualLayout>
              <c:x val="-2.0937118305159506E-2"/>
              <c:y val="9.2947515758080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8"/>
        <c:spPr>
          <a:solidFill>
            <a:schemeClr val="accent1"/>
          </a:solidFill>
          <a:ln w="19050">
            <a:solidFill>
              <a:schemeClr val="lt1"/>
            </a:solidFill>
          </a:ln>
          <a:effectLst/>
        </c:spPr>
        <c:dLbl>
          <c:idx val="0"/>
          <c:layout>
            <c:manualLayout>
              <c:x val="-4.4200583088670073E-2"/>
              <c:y val="7.3583449975146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chemeClr val="accent1"/>
          </a:solidFill>
          <a:ln w="19050">
            <a:solidFill>
              <a:schemeClr val="lt1"/>
            </a:solidFill>
          </a:ln>
          <a:effectLst/>
        </c:spPr>
        <c:dLbl>
          <c:idx val="0"/>
          <c:layout>
            <c:manualLayout>
              <c:x val="-6.7464047872180605E-2"/>
              <c:y val="4.2600944722453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0"/>
        <c:spPr>
          <a:solidFill>
            <a:schemeClr val="accent1"/>
          </a:solidFill>
          <a:ln w="19050">
            <a:solidFill>
              <a:schemeClr val="lt1"/>
            </a:solidFill>
          </a:ln>
          <a:effectLst/>
        </c:spPr>
        <c:dLbl>
          <c:idx val="0"/>
          <c:layout>
            <c:manualLayout>
              <c:x val="-6.281135491547854E-2"/>
              <c:y val="-7.7456263131733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1"/>
        <c:spPr>
          <a:solidFill>
            <a:schemeClr val="accent1"/>
          </a:solidFill>
          <a:ln w="19050">
            <a:solidFill>
              <a:schemeClr val="lt1"/>
            </a:solidFill>
          </a:ln>
          <a:effectLst/>
        </c:spPr>
        <c:dLbl>
          <c:idx val="0"/>
          <c:layout>
            <c:manualLayout>
              <c:x val="-6.7464047872180632E-2"/>
              <c:y val="-1.54912526263467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0144306752412986E-2"/>
                  <c:h val="7.7398323407343705E-2"/>
                </c:manualLayout>
              </c15:layout>
            </c:ext>
          </c:extLst>
        </c:dLbl>
      </c:pivotFmt>
      <c:pivotFmt>
        <c:idx val="42"/>
        <c:spPr>
          <a:solidFill>
            <a:schemeClr val="accent1"/>
          </a:solidFill>
          <a:ln w="19050">
            <a:solidFill>
              <a:schemeClr val="lt1"/>
            </a:solidFill>
          </a:ln>
          <a:effectLst/>
        </c:spPr>
        <c:dLbl>
          <c:idx val="0"/>
          <c:layout>
            <c:manualLayout>
              <c:x val="-9.3053859134041832E-3"/>
              <c:y val="-8.9074702601493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1"/>
          </a:solidFill>
          <a:ln w="19050">
            <a:solidFill>
              <a:schemeClr val="lt1"/>
            </a:solidFill>
          </a:ln>
          <a:effectLst/>
        </c:spPr>
        <c:dLbl>
          <c:idx val="0"/>
          <c:layout>
            <c:manualLayout>
              <c:x val="3.2568850696914786E-2"/>
              <c:y val="-8.13290762883202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0144306752412986E-2"/>
                  <c:h val="6.1907070780996991E-2"/>
                </c:manualLayout>
              </c15:layout>
            </c:ext>
          </c:extLst>
        </c:dLbl>
      </c:pivotFmt>
    </c:pivotFmts>
    <c:plotArea>
      <c:layout>
        <c:manualLayout>
          <c:layoutTarget val="inner"/>
          <c:xMode val="edge"/>
          <c:yMode val="edge"/>
          <c:x val="0.20312795275590551"/>
          <c:y val="0.20814523184601924"/>
          <c:w val="0.40047572178477692"/>
          <c:h val="0.66745953630796151"/>
        </c:manualLayout>
      </c:layout>
      <c:doughnutChart>
        <c:varyColors val="1"/>
        <c:ser>
          <c:idx val="0"/>
          <c:order val="0"/>
          <c:tx>
            <c:strRef>
              <c:f>'Pivot Table'!$K$1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81-4557-8D6A-84074202CE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81-4557-8D6A-84074202CE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81-4557-8D6A-84074202CE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81-4557-8D6A-84074202CE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81-4557-8D6A-84074202CE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81-4557-8D6A-84074202CE8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F81-4557-8D6A-84074202CE8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F81-4557-8D6A-84074202CE8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F81-4557-8D6A-84074202CE8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F81-4557-8D6A-84074202CE8F}"/>
              </c:ext>
            </c:extLst>
          </c:dPt>
          <c:dLbls>
            <c:dLbl>
              <c:idx val="0"/>
              <c:layout>
                <c:manualLayout>
                  <c:x val="3.2568850696914786E-2"/>
                  <c:y val="-8.13290762883202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0144306752412986E-2"/>
                      <c:h val="6.1907070780996991E-2"/>
                    </c:manualLayout>
                  </c15:layout>
                </c:ext>
                <c:ext xmlns:c16="http://schemas.microsoft.com/office/drawing/2014/chart" uri="{C3380CC4-5D6E-409C-BE32-E72D297353CC}">
                  <c16:uniqueId val="{00000001-EF81-4557-8D6A-84074202CE8F}"/>
                </c:ext>
              </c:extLst>
            </c:dLbl>
            <c:dLbl>
              <c:idx val="1"/>
              <c:layout>
                <c:manualLayout>
                  <c:x val="6.7464047872180716E-2"/>
                  <c:y val="-3.485531840928011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F81-4557-8D6A-84074202CE8F}"/>
                </c:ext>
              </c:extLst>
            </c:dLbl>
            <c:dLbl>
              <c:idx val="2"/>
              <c:layout>
                <c:manualLayout>
                  <c:x val="6.0485008437127549E-2"/>
                  <c:y val="4.647375787904015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EF81-4557-8D6A-84074202CE8F}"/>
                </c:ext>
              </c:extLst>
            </c:dLbl>
            <c:dLbl>
              <c:idx val="3"/>
              <c:layout>
                <c:manualLayout>
                  <c:x val="3.2568850696914786E-2"/>
                  <c:y val="9.294751575808030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EF81-4557-8D6A-84074202CE8F}"/>
                </c:ext>
              </c:extLst>
            </c:dLbl>
            <c:dLbl>
              <c:idx val="4"/>
              <c:layout>
                <c:manualLayout>
                  <c:x val="-2.0937118305159506E-2"/>
                  <c:y val="9.294751575808030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EF81-4557-8D6A-84074202CE8F}"/>
                </c:ext>
              </c:extLst>
            </c:dLbl>
            <c:dLbl>
              <c:idx val="5"/>
              <c:layout>
                <c:manualLayout>
                  <c:x val="-4.4200583088670073E-2"/>
                  <c:y val="7.35834499751469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EF81-4557-8D6A-84074202CE8F}"/>
                </c:ext>
              </c:extLst>
            </c:dLbl>
            <c:dLbl>
              <c:idx val="6"/>
              <c:layout>
                <c:manualLayout>
                  <c:x val="-6.7464047872180605E-2"/>
                  <c:y val="4.260094472245347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EF81-4557-8D6A-84074202CE8F}"/>
                </c:ext>
              </c:extLst>
            </c:dLbl>
            <c:dLbl>
              <c:idx val="7"/>
              <c:layout>
                <c:manualLayout>
                  <c:x val="-6.281135491547854E-2"/>
                  <c:y val="-7.745626313173359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EF81-4557-8D6A-84074202CE8F}"/>
                </c:ext>
              </c:extLst>
            </c:dLbl>
            <c:dLbl>
              <c:idx val="8"/>
              <c:layout>
                <c:manualLayout>
                  <c:x val="-6.7464047872180632E-2"/>
                  <c:y val="-1.54912526263467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0144306752412986E-2"/>
                      <c:h val="7.7398323407343705E-2"/>
                    </c:manualLayout>
                  </c15:layout>
                </c:ext>
                <c:ext xmlns:c16="http://schemas.microsoft.com/office/drawing/2014/chart" uri="{C3380CC4-5D6E-409C-BE32-E72D297353CC}">
                  <c16:uniqueId val="{00000011-EF81-4557-8D6A-84074202CE8F}"/>
                </c:ext>
              </c:extLst>
            </c:dLbl>
            <c:dLbl>
              <c:idx val="9"/>
              <c:layout>
                <c:manualLayout>
                  <c:x val="-9.3053859134041832E-3"/>
                  <c:y val="-8.907470260149366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EF81-4557-8D6A-84074202C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Table'!$J$2:$J$12</c:f>
              <c:strCache>
                <c:ptCount val="10"/>
                <c:pt idx="0">
                  <c:v>Ashley Moore</c:v>
                </c:pt>
                <c:pt idx="1">
                  <c:v>Daniel Wilson</c:v>
                </c:pt>
                <c:pt idx="2">
                  <c:v>David Brown</c:v>
                </c:pt>
                <c:pt idx="3">
                  <c:v>Emily Johnson</c:v>
                </c:pt>
                <c:pt idx="4">
                  <c:v>James Anderson</c:v>
                </c:pt>
                <c:pt idx="5">
                  <c:v>Jessica Davis</c:v>
                </c:pt>
                <c:pt idx="6">
                  <c:v>Megan Thomas</c:v>
                </c:pt>
                <c:pt idx="7">
                  <c:v>Michael Smith</c:v>
                </c:pt>
                <c:pt idx="8">
                  <c:v>Ryan Taylor</c:v>
                </c:pt>
                <c:pt idx="9">
                  <c:v>Sarah Williams</c:v>
                </c:pt>
              </c:strCache>
            </c:strRef>
          </c:cat>
          <c:val>
            <c:numRef>
              <c:f>'Pivot Table'!$K$2:$K$12</c:f>
              <c:numCache>
                <c:formatCode>"$"#,##0.00</c:formatCode>
                <c:ptCount val="10"/>
                <c:pt idx="0">
                  <c:v>23599.699999999997</c:v>
                </c:pt>
                <c:pt idx="1">
                  <c:v>39828.05000000001</c:v>
                </c:pt>
                <c:pt idx="2">
                  <c:v>15006.85</c:v>
                </c:pt>
                <c:pt idx="3">
                  <c:v>30368.05</c:v>
                </c:pt>
                <c:pt idx="4">
                  <c:v>15016.45</c:v>
                </c:pt>
                <c:pt idx="5">
                  <c:v>20014.650000000001</c:v>
                </c:pt>
                <c:pt idx="6">
                  <c:v>15088.7</c:v>
                </c:pt>
                <c:pt idx="7">
                  <c:v>14779.3</c:v>
                </c:pt>
                <c:pt idx="8">
                  <c:v>29715.600000000002</c:v>
                </c:pt>
                <c:pt idx="9">
                  <c:v>13481.099999999999</c:v>
                </c:pt>
              </c:numCache>
            </c:numRef>
          </c:val>
          <c:extLst>
            <c:ext xmlns:c16="http://schemas.microsoft.com/office/drawing/2014/chart" uri="{C3380CC4-5D6E-409C-BE32-E72D297353CC}">
              <c16:uniqueId val="{00000014-EF81-4557-8D6A-84074202CE8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rnd"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[ecommerce_dataset_EN.xlsx]Pivot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Table'!$G$2:$G$10</c:f>
              <c:strCache>
                <c:ptCount val="8"/>
                <c:pt idx="0">
                  <c:v>Beauty</c:v>
                </c:pt>
                <c:pt idx="1">
                  <c:v>Books</c:v>
                </c:pt>
                <c:pt idx="2">
                  <c:v>Clothing</c:v>
                </c:pt>
                <c:pt idx="3">
                  <c:v>Electronics</c:v>
                </c:pt>
                <c:pt idx="4">
                  <c:v>Home Appliances</c:v>
                </c:pt>
                <c:pt idx="5">
                  <c:v>Perfumes</c:v>
                </c:pt>
                <c:pt idx="6">
                  <c:v>Shoes</c:v>
                </c:pt>
                <c:pt idx="7">
                  <c:v>Watches</c:v>
                </c:pt>
              </c:strCache>
            </c:strRef>
          </c:cat>
          <c:val>
            <c:numRef>
              <c:f>'Pivot Table'!$H$2:$H$10</c:f>
              <c:numCache>
                <c:formatCode>"$"#,##0.00</c:formatCode>
                <c:ptCount val="8"/>
                <c:pt idx="0">
                  <c:v>910.99999999999989</c:v>
                </c:pt>
                <c:pt idx="1">
                  <c:v>2091.25</c:v>
                </c:pt>
                <c:pt idx="2">
                  <c:v>3776.75</c:v>
                </c:pt>
                <c:pt idx="3">
                  <c:v>129772.45</c:v>
                </c:pt>
                <c:pt idx="4">
                  <c:v>46220</c:v>
                </c:pt>
                <c:pt idx="5">
                  <c:v>12273</c:v>
                </c:pt>
                <c:pt idx="6">
                  <c:v>17273</c:v>
                </c:pt>
                <c:pt idx="7">
                  <c:v>4581</c:v>
                </c:pt>
              </c:numCache>
            </c:numRef>
          </c:val>
          <c:extLst>
            <c:ext xmlns:c16="http://schemas.microsoft.com/office/drawing/2014/chart" uri="{C3380CC4-5D6E-409C-BE32-E72D297353CC}">
              <c16:uniqueId val="{00000000-2D05-431B-87CF-30150CE5708C}"/>
            </c:ext>
          </c:extLst>
        </c:ser>
        <c:dLbls>
          <c:dLblPos val="outEnd"/>
          <c:showLegendKey val="0"/>
          <c:showVal val="1"/>
          <c:showCatName val="0"/>
          <c:showSerName val="0"/>
          <c:showPercent val="0"/>
          <c:showBubbleSize val="0"/>
        </c:dLbls>
        <c:gapWidth val="182"/>
        <c:axId val="543997360"/>
        <c:axId val="543994080"/>
      </c:barChart>
      <c:catAx>
        <c:axId val="54399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94080"/>
        <c:crosses val="autoZero"/>
        <c:auto val="1"/>
        <c:lblAlgn val="ctr"/>
        <c:lblOffset val="100"/>
        <c:noMultiLvlLbl val="0"/>
      </c:catAx>
      <c:valAx>
        <c:axId val="5439940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9736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[ecommerce_dataset_EN.xlsx]Pivot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Table'!$E$1</c:f>
              <c:strCache>
                <c:ptCount val="1"/>
                <c:pt idx="0">
                  <c:v>Total</c:v>
                </c:pt>
              </c:strCache>
            </c:strRef>
          </c:tx>
          <c:spPr>
            <a:solidFill>
              <a:schemeClr val="accent1"/>
            </a:solidFill>
            <a:ln>
              <a:noFill/>
            </a:ln>
            <a:effectLst/>
          </c:spPr>
          <c:invertIfNegative val="0"/>
          <c:cat>
            <c:strRef>
              <c:f>'Pivot Table'!$D$2:$D$17</c:f>
              <c:strCache>
                <c:ptCount val="15"/>
                <c:pt idx="0">
                  <c:v>Adidas Ultraboost 22</c:v>
                </c:pt>
                <c:pt idx="1">
                  <c:v>Carrier 1.5 Ton Split AC</c:v>
                </c:pt>
                <c:pt idx="2">
                  <c:v>Casio G-Shock Watch</c:v>
                </c:pt>
                <c:pt idx="3">
                  <c:v>Chanel No.5 Perfume</c:v>
                </c:pt>
                <c:pt idx="4">
                  <c:v>Cotton T-Shirt</c:v>
                </c:pt>
                <c:pt idx="5">
                  <c:v>Dell XPS Laptop</c:v>
                </c:pt>
                <c:pt idx="6">
                  <c:v>Excel Mastery Guide</c:v>
                </c:pt>
                <c:pt idx="7">
                  <c:v>iPhone 15 Pro</c:v>
                </c:pt>
                <c:pt idx="8">
                  <c:v>Nike Air Max 270</c:v>
                </c:pt>
                <c:pt idx="9">
                  <c:v>Nivea Moisturizing Cream</c:v>
                </c:pt>
                <c:pt idx="10">
                  <c:v>Python for Beginners</c:v>
                </c:pt>
                <c:pt idx="11">
                  <c:v>Samsung 500L Refrigerator</c:v>
                </c:pt>
                <c:pt idx="12">
                  <c:v>Samsung Galaxy S24</c:v>
                </c:pt>
                <c:pt idx="13">
                  <c:v>Slim Fit Jeans</c:v>
                </c:pt>
                <c:pt idx="14">
                  <c:v>Sony WH-1000XM5 Headphones</c:v>
                </c:pt>
              </c:strCache>
            </c:strRef>
          </c:cat>
          <c:val>
            <c:numRef>
              <c:f>'Pivot Table'!$E$2:$E$17</c:f>
              <c:numCache>
                <c:formatCode>"$"#,##0.00</c:formatCode>
                <c:ptCount val="15"/>
                <c:pt idx="0">
                  <c:v>1128.5999999999999</c:v>
                </c:pt>
                <c:pt idx="1">
                  <c:v>4065</c:v>
                </c:pt>
                <c:pt idx="2">
                  <c:v>907.19999999999993</c:v>
                </c:pt>
                <c:pt idx="3">
                  <c:v>2441.6000000000004</c:v>
                </c:pt>
                <c:pt idx="4">
                  <c:v>222.42999999999998</c:v>
                </c:pt>
                <c:pt idx="5">
                  <c:v>7832.9700000000012</c:v>
                </c:pt>
                <c:pt idx="6">
                  <c:v>238</c:v>
                </c:pt>
                <c:pt idx="7">
                  <c:v>7742.2500000000009</c:v>
                </c:pt>
                <c:pt idx="8">
                  <c:v>2277</c:v>
                </c:pt>
                <c:pt idx="9">
                  <c:v>160.20000000000002</c:v>
                </c:pt>
                <c:pt idx="10">
                  <c:v>159.25</c:v>
                </c:pt>
                <c:pt idx="11">
                  <c:v>5148</c:v>
                </c:pt>
                <c:pt idx="12">
                  <c:v>7309.89</c:v>
                </c:pt>
                <c:pt idx="13">
                  <c:v>511.92000000000007</c:v>
                </c:pt>
                <c:pt idx="14">
                  <c:v>3008.38</c:v>
                </c:pt>
              </c:numCache>
            </c:numRef>
          </c:val>
          <c:extLst>
            <c:ext xmlns:c16="http://schemas.microsoft.com/office/drawing/2014/chart" uri="{C3380CC4-5D6E-409C-BE32-E72D297353CC}">
              <c16:uniqueId val="{00000000-E6DC-4CD6-9F40-C517C09C16B2}"/>
            </c:ext>
          </c:extLst>
        </c:ser>
        <c:dLbls>
          <c:showLegendKey val="0"/>
          <c:showVal val="0"/>
          <c:showCatName val="0"/>
          <c:showSerName val="0"/>
          <c:showPercent val="0"/>
          <c:showBubbleSize val="0"/>
        </c:dLbls>
        <c:gapWidth val="219"/>
        <c:overlap val="-27"/>
        <c:axId val="745202824"/>
        <c:axId val="745200200"/>
      </c:barChart>
      <c:catAx>
        <c:axId val="745202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00200"/>
        <c:crosses val="autoZero"/>
        <c:auto val="1"/>
        <c:lblAlgn val="ctr"/>
        <c:lblOffset val="100"/>
        <c:noMultiLvlLbl val="0"/>
      </c:catAx>
      <c:valAx>
        <c:axId val="745200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0282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[ecommerce_dataset_EN.xlsx]Pivot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r>
              <a:rPr lang="en-US" baseline="0"/>
              <a:t>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A-1BFB-43D6-952D-C79E0AAC815C}"/>
              </c:ext>
            </c:extLst>
          </c:dPt>
          <c:dPt>
            <c:idx val="2"/>
            <c:marker>
              <c:symbol val="none"/>
            </c:marker>
            <c:bubble3D val="0"/>
            <c:extLst>
              <c:ext xmlns:c16="http://schemas.microsoft.com/office/drawing/2014/chart" uri="{C3380CC4-5D6E-409C-BE32-E72D297353CC}">
                <c16:uniqueId val="{00000009-1BFB-43D6-952D-C79E0AAC815C}"/>
              </c:ext>
            </c:extLst>
          </c:dPt>
          <c:dPt>
            <c:idx val="3"/>
            <c:marker>
              <c:symbol val="none"/>
            </c:marker>
            <c:bubble3D val="0"/>
            <c:extLst>
              <c:ext xmlns:c16="http://schemas.microsoft.com/office/drawing/2014/chart" uri="{C3380CC4-5D6E-409C-BE32-E72D297353CC}">
                <c16:uniqueId val="{00000001-1BFB-43D6-952D-C79E0AAC815C}"/>
              </c:ext>
            </c:extLst>
          </c:dPt>
          <c:dPt>
            <c:idx val="4"/>
            <c:marker>
              <c:symbol val="none"/>
            </c:marker>
            <c:bubble3D val="0"/>
            <c:extLst>
              <c:ext xmlns:c16="http://schemas.microsoft.com/office/drawing/2014/chart" uri="{C3380CC4-5D6E-409C-BE32-E72D297353CC}">
                <c16:uniqueId val="{00000008-1BFB-43D6-952D-C79E0AAC815C}"/>
              </c:ext>
            </c:extLst>
          </c:dPt>
          <c:dPt>
            <c:idx val="5"/>
            <c:marker>
              <c:symbol val="none"/>
            </c:marker>
            <c:bubble3D val="0"/>
            <c:extLst>
              <c:ext xmlns:c16="http://schemas.microsoft.com/office/drawing/2014/chart" uri="{C3380CC4-5D6E-409C-BE32-E72D297353CC}">
                <c16:uniqueId val="{00000007-1BFB-43D6-952D-C79E0AAC815C}"/>
              </c:ext>
            </c:extLst>
          </c:dPt>
          <c:dPt>
            <c:idx val="6"/>
            <c:marker>
              <c:symbol val="none"/>
            </c:marker>
            <c:bubble3D val="0"/>
            <c:extLst>
              <c:ext xmlns:c16="http://schemas.microsoft.com/office/drawing/2014/chart" uri="{C3380CC4-5D6E-409C-BE32-E72D297353CC}">
                <c16:uniqueId val="{00000005-1BFB-43D6-952D-C79E0AAC815C}"/>
              </c:ext>
            </c:extLst>
          </c:dPt>
          <c:dPt>
            <c:idx val="7"/>
            <c:marker>
              <c:symbol val="none"/>
            </c:marker>
            <c:bubble3D val="0"/>
            <c:extLst>
              <c:ext xmlns:c16="http://schemas.microsoft.com/office/drawing/2014/chart" uri="{C3380CC4-5D6E-409C-BE32-E72D297353CC}">
                <c16:uniqueId val="{00000006-1BFB-43D6-952D-C79E0AAC815C}"/>
              </c:ext>
            </c:extLst>
          </c:dPt>
          <c:dPt>
            <c:idx val="8"/>
            <c:marker>
              <c:symbol val="none"/>
            </c:marker>
            <c:bubble3D val="0"/>
            <c:extLst>
              <c:ext xmlns:c16="http://schemas.microsoft.com/office/drawing/2014/chart" uri="{C3380CC4-5D6E-409C-BE32-E72D297353CC}">
                <c16:uniqueId val="{00000004-1BFB-43D6-952D-C79E0AAC815C}"/>
              </c:ext>
            </c:extLst>
          </c:dPt>
          <c:dPt>
            <c:idx val="9"/>
            <c:marker>
              <c:symbol val="none"/>
            </c:marker>
            <c:bubble3D val="0"/>
            <c:extLst>
              <c:ext xmlns:c16="http://schemas.microsoft.com/office/drawing/2014/chart" uri="{C3380CC4-5D6E-409C-BE32-E72D297353CC}">
                <c16:uniqueId val="{00000003-1BFB-43D6-952D-C79E0AAC815C}"/>
              </c:ext>
            </c:extLst>
          </c:dPt>
          <c:dPt>
            <c:idx val="11"/>
            <c:marker>
              <c:symbol val="none"/>
            </c:marker>
            <c:bubble3D val="0"/>
            <c:extLst>
              <c:ext xmlns:c16="http://schemas.microsoft.com/office/drawing/2014/chart" uri="{C3380CC4-5D6E-409C-BE32-E72D297353CC}">
                <c16:uniqueId val="{00000002-1BFB-43D6-952D-C79E0AAC815C}"/>
              </c:ext>
            </c:extLst>
          </c:dPt>
          <c:dLbls>
            <c:delete val="1"/>
          </c:dLbls>
          <c:trendline>
            <c:spPr>
              <a:ln w="19050" cap="rnd">
                <a:solidFill>
                  <a:schemeClr val="accent1"/>
                </a:solidFill>
                <a:prstDash val="sysDot"/>
              </a:ln>
              <a:effectLst/>
            </c:spPr>
            <c:trendlineType val="linear"/>
            <c:dispRSqr val="0"/>
            <c:dispEq val="0"/>
          </c:trendline>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"$"#,##0.00</c:formatCode>
                <c:ptCount val="12"/>
                <c:pt idx="0">
                  <c:v>15963.300000000001</c:v>
                </c:pt>
                <c:pt idx="1">
                  <c:v>16111.3</c:v>
                </c:pt>
                <c:pt idx="2">
                  <c:v>15601.65</c:v>
                </c:pt>
                <c:pt idx="3">
                  <c:v>8866.7999999999993</c:v>
                </c:pt>
                <c:pt idx="4">
                  <c:v>15388.349999999999</c:v>
                </c:pt>
                <c:pt idx="5">
                  <c:v>12602</c:v>
                </c:pt>
                <c:pt idx="6">
                  <c:v>20378.100000000002</c:v>
                </c:pt>
                <c:pt idx="7">
                  <c:v>13171.2</c:v>
                </c:pt>
                <c:pt idx="8">
                  <c:v>15655.099999999999</c:v>
                </c:pt>
                <c:pt idx="9">
                  <c:v>22895.9</c:v>
                </c:pt>
                <c:pt idx="10">
                  <c:v>32413.15</c:v>
                </c:pt>
                <c:pt idx="11">
                  <c:v>27851.599999999995</c:v>
                </c:pt>
              </c:numCache>
            </c:numRef>
          </c:val>
          <c:smooth val="0"/>
          <c:extLst>
            <c:ext xmlns:c16="http://schemas.microsoft.com/office/drawing/2014/chart" uri="{C3380CC4-5D6E-409C-BE32-E72D297353CC}">
              <c16:uniqueId val="{00000000-1BFB-43D6-952D-C79E0AAC815C}"/>
            </c:ext>
          </c:extLst>
        </c:ser>
        <c:dLbls>
          <c:dLblPos val="t"/>
          <c:showLegendKey val="0"/>
          <c:showVal val="1"/>
          <c:showCatName val="0"/>
          <c:showSerName val="0"/>
          <c:showPercent val="0"/>
          <c:showBubbleSize val="0"/>
        </c:dLbls>
        <c:smooth val="0"/>
        <c:axId val="744763600"/>
        <c:axId val="744765568"/>
      </c:lineChart>
      <c:catAx>
        <c:axId val="74476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765568"/>
        <c:crosses val="autoZero"/>
        <c:auto val="1"/>
        <c:lblAlgn val="ctr"/>
        <c:lblOffset val="100"/>
        <c:noMultiLvlLbl val="0"/>
      </c:catAx>
      <c:valAx>
        <c:axId val="744765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76360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71437</xdr:colOff>
      <xdr:row>18</xdr:row>
      <xdr:rowOff>64293</xdr:rowOff>
    </xdr:from>
    <xdr:to>
      <xdr:col>4</xdr:col>
      <xdr:colOff>252412</xdr:colOff>
      <xdr:row>33</xdr:row>
      <xdr:rowOff>92868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409574</xdr:colOff>
      <xdr:row>18</xdr:row>
      <xdr:rowOff>64293</xdr:rowOff>
    </xdr:from>
    <xdr:to>
      <xdr:col>9</xdr:col>
      <xdr:colOff>666749</xdr:colOff>
      <xdr:row>37</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695324</xdr:colOff>
      <xdr:row>18</xdr:row>
      <xdr:rowOff>78579</xdr:rowOff>
    </xdr:from>
    <xdr:to>
      <xdr:col>17</xdr:col>
      <xdr:colOff>500063</xdr:colOff>
      <xdr:row>36</xdr:row>
      <xdr:rowOff>171448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109538</xdr:colOff>
      <xdr:row>0</xdr:row>
      <xdr:rowOff>178593</xdr:rowOff>
    </xdr:from>
    <xdr:to>
      <xdr:col>18</xdr:col>
      <xdr:colOff>147638</xdr:colOff>
      <xdr:row>16</xdr:row>
      <xdr:rowOff>26193</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561975</xdr:colOff>
      <xdr:row>18</xdr:row>
      <xdr:rowOff>90487</xdr:rowOff>
    </xdr:from>
    <xdr:to>
      <xdr:col>20</xdr:col>
      <xdr:colOff>447675</xdr:colOff>
      <xdr:row>36</xdr:row>
      <xdr:rowOff>152400</xdr:rowOff>
    </xdr:to>
    <mc:AlternateContent xmlns:mc="http://schemas.openxmlformats.org/markup-compatibility/2006">
      <mc:Choice xmlns:a14="http://schemas.microsoft.com/office/drawing/2010/main" Requires="a14">
        <xdr:graphicFrame macro="">
          <xdr:nvGraphicFramePr>
            <xdr:cNvPr id="10" name="Product Name"/>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5097125" y="3348037"/>
              <a:ext cx="1828800" cy="3319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228600</xdr:colOff>
      <xdr:row>1</xdr:row>
      <xdr:rowOff>19051</xdr:rowOff>
    </xdr:from>
    <xdr:to>
      <xdr:col>21</xdr:col>
      <xdr:colOff>114300</xdr:colOff>
      <xdr:row>16</xdr:row>
      <xdr:rowOff>9526</xdr:rowOff>
    </xdr:to>
    <mc:AlternateContent xmlns:mc="http://schemas.openxmlformats.org/markup-compatibility/2006">
      <mc:Choice xmlns:a14="http://schemas.microsoft.com/office/drawing/2010/main"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411450" y="200026"/>
              <a:ext cx="1828800"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123824</xdr:colOff>
      <xdr:row>0</xdr:row>
      <xdr:rowOff>147638</xdr:rowOff>
    </xdr:from>
    <xdr:to>
      <xdr:col>6</xdr:col>
      <xdr:colOff>133349</xdr:colOff>
      <xdr:row>4</xdr:row>
      <xdr:rowOff>138113</xdr:rowOff>
    </xdr:to>
    <xdr:sp macro="" textlink="">
      <xdr:nvSpPr>
        <xdr:cNvPr id="2" name="Rounded Rectangle 1"/>
        <xdr:cNvSpPr/>
      </xdr:nvSpPr>
      <xdr:spPr>
        <a:xfrm>
          <a:off x="123824" y="147638"/>
          <a:ext cx="3895725" cy="7143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bIns="0" rtlCol="0" anchor="ctr">
          <a:scene3d>
            <a:camera prst="perspectiveRight"/>
            <a:lightRig rig="threePt" dir="t"/>
          </a:scene3d>
        </a:bodyPr>
        <a:lstStyle/>
        <a:p>
          <a:pPr algn="ctr" rtl="0"/>
          <a:r>
            <a:rPr lang="en-US" sz="2400" b="1" cap="none" spc="0">
              <a:ln w="0"/>
              <a:solidFill>
                <a:schemeClr val="tx1"/>
              </a:solidFill>
              <a:effectLst>
                <a:outerShdw blurRad="38100" dist="19050" dir="2700000" algn="tl" rotWithShape="0">
                  <a:schemeClr val="dk1">
                    <a:alpha val="40000"/>
                  </a:schemeClr>
                </a:outerShdw>
              </a:effectLst>
            </a:rPr>
            <a:t>Ecommerce-Sales-Analysis</a:t>
          </a:r>
        </a:p>
      </xdr:txBody>
    </xdr:sp>
    <xdr:clientData/>
  </xdr:twoCellAnchor>
  <xdr:twoCellAnchor>
    <xdr:from>
      <xdr:col>6</xdr:col>
      <xdr:colOff>414337</xdr:colOff>
      <xdr:row>0</xdr:row>
      <xdr:rowOff>80962</xdr:rowOff>
    </xdr:from>
    <xdr:to>
      <xdr:col>10</xdr:col>
      <xdr:colOff>138113</xdr:colOff>
      <xdr:row>5</xdr:row>
      <xdr:rowOff>28575</xdr:rowOff>
    </xdr:to>
    <xdr:sp macro="" textlink="">
      <xdr:nvSpPr>
        <xdr:cNvPr id="3" name="Rounded Rectangle 2"/>
        <xdr:cNvSpPr/>
      </xdr:nvSpPr>
      <xdr:spPr>
        <a:xfrm>
          <a:off x="4300537" y="80962"/>
          <a:ext cx="2314576" cy="852488"/>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000" b="1"/>
            <a:t>Total Sales</a:t>
          </a:r>
          <a:br>
            <a:rPr lang="en-US" sz="2000" b="1"/>
          </a:br>
          <a:r>
            <a:rPr lang="en-US" sz="2000" b="1" i="0" u="none" strike="noStrike">
              <a:solidFill>
                <a:schemeClr val="dk1"/>
              </a:solidFill>
              <a:effectLst/>
              <a:latin typeface="+mn-lt"/>
              <a:ea typeface="+mn-ea"/>
              <a:cs typeface="+mn-cs"/>
            </a:rPr>
            <a:t>$216,898.45</a:t>
          </a:r>
          <a:r>
            <a:rPr lang="en-US" sz="2000" b="1"/>
            <a:t> </a:t>
          </a:r>
        </a:p>
      </xdr:txBody>
    </xdr:sp>
    <xdr:clientData/>
  </xdr:twoCellAnchor>
  <xdr:twoCellAnchor>
    <xdr:from>
      <xdr:col>10</xdr:col>
      <xdr:colOff>585788</xdr:colOff>
      <xdr:row>0</xdr:row>
      <xdr:rowOff>80961</xdr:rowOff>
    </xdr:from>
    <xdr:to>
      <xdr:col>14</xdr:col>
      <xdr:colOff>323850</xdr:colOff>
      <xdr:row>5</xdr:row>
      <xdr:rowOff>14287</xdr:rowOff>
    </xdr:to>
    <xdr:sp macro="" textlink="">
      <xdr:nvSpPr>
        <xdr:cNvPr id="4" name="Rounded Rectangle 3"/>
        <xdr:cNvSpPr/>
      </xdr:nvSpPr>
      <xdr:spPr>
        <a:xfrm>
          <a:off x="7062788" y="80961"/>
          <a:ext cx="2328862" cy="838201"/>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000" b="1"/>
            <a:t>Total Profit</a:t>
          </a:r>
          <a:br>
            <a:rPr lang="en-US" sz="2000" b="1"/>
          </a:br>
          <a:r>
            <a:rPr lang="en-US" sz="2000" b="1" i="0" u="none" strike="noStrike">
              <a:solidFill>
                <a:schemeClr val="dk1"/>
              </a:solidFill>
              <a:effectLst/>
              <a:latin typeface="+mn-lt"/>
              <a:ea typeface="+mn-ea"/>
              <a:cs typeface="+mn-cs"/>
            </a:rPr>
            <a:t>$43,152.69</a:t>
          </a:r>
          <a:r>
            <a:rPr lang="en-US" sz="2000" b="1"/>
            <a:t> </a:t>
          </a:r>
        </a:p>
      </xdr:txBody>
    </xdr:sp>
    <xdr:clientData/>
  </xdr:twoCellAnchor>
  <xdr:twoCellAnchor>
    <xdr:from>
      <xdr:col>15</xdr:col>
      <xdr:colOff>190498</xdr:colOff>
      <xdr:row>0</xdr:row>
      <xdr:rowOff>76199</xdr:rowOff>
    </xdr:from>
    <xdr:to>
      <xdr:col>18</xdr:col>
      <xdr:colOff>585787</xdr:colOff>
      <xdr:row>5</xdr:row>
      <xdr:rowOff>14287</xdr:rowOff>
    </xdr:to>
    <xdr:sp macro="" textlink="">
      <xdr:nvSpPr>
        <xdr:cNvPr id="5" name="Rounded Rectangle 4"/>
        <xdr:cNvSpPr/>
      </xdr:nvSpPr>
      <xdr:spPr>
        <a:xfrm>
          <a:off x="9905998" y="76199"/>
          <a:ext cx="2338389" cy="84296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000" b="1"/>
            <a:t>Total Orders</a:t>
          </a:r>
          <a:br>
            <a:rPr lang="en-US" sz="2000" b="1"/>
          </a:br>
          <a:r>
            <a:rPr lang="en-US" sz="2000" b="1"/>
            <a:t>200</a:t>
          </a:r>
        </a:p>
      </xdr:txBody>
    </xdr:sp>
    <xdr:clientData/>
  </xdr:twoCellAnchor>
  <xdr:twoCellAnchor>
    <xdr:from>
      <xdr:col>19</xdr:col>
      <xdr:colOff>476251</xdr:colOff>
      <xdr:row>0</xdr:row>
      <xdr:rowOff>80963</xdr:rowOff>
    </xdr:from>
    <xdr:to>
      <xdr:col>23</xdr:col>
      <xdr:colOff>228601</xdr:colOff>
      <xdr:row>5</xdr:row>
      <xdr:rowOff>14288</xdr:rowOff>
    </xdr:to>
    <xdr:sp macro="" textlink="">
      <xdr:nvSpPr>
        <xdr:cNvPr id="6" name="Rounded Rectangle 5"/>
        <xdr:cNvSpPr/>
      </xdr:nvSpPr>
      <xdr:spPr>
        <a:xfrm>
          <a:off x="12782551" y="80963"/>
          <a:ext cx="2343150" cy="8382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000" b="1"/>
            <a:t>Avg Order</a:t>
          </a:r>
          <a:r>
            <a:rPr lang="en-US" sz="2000" b="1" baseline="0"/>
            <a:t> Value</a:t>
          </a:r>
          <a:br>
            <a:rPr lang="en-US" sz="2000" b="1" baseline="0"/>
          </a:br>
          <a:r>
            <a:rPr lang="en-US" sz="2000" b="1" i="0" u="none" strike="noStrike">
              <a:solidFill>
                <a:schemeClr val="dk1"/>
              </a:solidFill>
              <a:effectLst/>
              <a:latin typeface="+mn-lt"/>
              <a:ea typeface="+mn-ea"/>
              <a:cs typeface="+mn-cs"/>
            </a:rPr>
            <a:t>$1,084.49</a:t>
          </a:r>
          <a:r>
            <a:rPr lang="en-US" sz="2000" b="1"/>
            <a:t> </a:t>
          </a:r>
        </a:p>
      </xdr:txBody>
    </xdr:sp>
    <xdr:clientData/>
  </xdr:twoCellAnchor>
  <xdr:twoCellAnchor>
    <xdr:from>
      <xdr:col>0</xdr:col>
      <xdr:colOff>49212</xdr:colOff>
      <xdr:row>5</xdr:row>
      <xdr:rowOff>167216</xdr:rowOff>
    </xdr:from>
    <xdr:to>
      <xdr:col>2</xdr:col>
      <xdr:colOff>539749</xdr:colOff>
      <xdr:row>41</xdr:row>
      <xdr:rowOff>105834</xdr:rowOff>
    </xdr:to>
    <xdr:sp macro="" textlink="">
      <xdr:nvSpPr>
        <xdr:cNvPr id="7" name="Rounded Rectangle 6"/>
        <xdr:cNvSpPr/>
      </xdr:nvSpPr>
      <xdr:spPr>
        <a:xfrm>
          <a:off x="49212" y="1066799"/>
          <a:ext cx="1781704" cy="6415618"/>
        </a:xfrm>
        <a:prstGeom prst="roundRect">
          <a:avLst/>
        </a:prstGeom>
        <a:solidFill>
          <a:schemeClr val="accent1"/>
        </a:solidFill>
      </xdr:spPr>
      <xdr:style>
        <a:lnRef idx="1">
          <a:schemeClr val="accent1"/>
        </a:lnRef>
        <a:fillRef idx="1001">
          <a:schemeClr val="dk2"/>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51766</xdr:colOff>
      <xdr:row>6</xdr:row>
      <xdr:rowOff>50800</xdr:rowOff>
    </xdr:from>
    <xdr:to>
      <xdr:col>11</xdr:col>
      <xdr:colOff>317500</xdr:colOff>
      <xdr:row>24</xdr:row>
      <xdr:rowOff>91586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365124</xdr:colOff>
      <xdr:row>6</xdr:row>
      <xdr:rowOff>52917</xdr:rowOff>
    </xdr:from>
    <xdr:to>
      <xdr:col>23</xdr:col>
      <xdr:colOff>559075</xdr:colOff>
      <xdr:row>24</xdr:row>
      <xdr:rowOff>74083</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40299</xdr:colOff>
      <xdr:row>24</xdr:row>
      <xdr:rowOff>175968</xdr:rowOff>
    </xdr:from>
    <xdr:to>
      <xdr:col>15</xdr:col>
      <xdr:colOff>309359</xdr:colOff>
      <xdr:row>42</xdr:row>
      <xdr:rowOff>17097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360892</xdr:colOff>
      <xdr:row>24</xdr:row>
      <xdr:rowOff>150812</xdr:rowOff>
    </xdr:from>
    <xdr:to>
      <xdr:col>23</xdr:col>
      <xdr:colOff>571501</xdr:colOff>
      <xdr:row>41</xdr:row>
      <xdr:rowOff>174625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132292</xdr:colOff>
      <xdr:row>7</xdr:row>
      <xdr:rowOff>31750</xdr:rowOff>
    </xdr:from>
    <xdr:to>
      <xdr:col>2</xdr:col>
      <xdr:colOff>508000</xdr:colOff>
      <xdr:row>39</xdr:row>
      <xdr:rowOff>42333</xdr:rowOff>
    </xdr:to>
    <mc:AlternateContent xmlns:mc="http://schemas.openxmlformats.org/markup-compatibility/2006" xmlns:a14="http://schemas.microsoft.com/office/drawing/2010/main">
      <mc:Choice Requires="a14">
        <xdr:graphicFrame macro="">
          <xdr:nvGraphicFramePr>
            <xdr:cNvPr id="15" name="Product Name 1"/>
            <xdr:cNvGraphicFramePr>
              <a:graphicFrameLocks/>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32292" y="1308505"/>
              <a:ext cx="1672729" cy="5847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15874</xdr:colOff>
      <xdr:row>0</xdr:row>
      <xdr:rowOff>10584</xdr:rowOff>
    </xdr:from>
    <xdr:to>
      <xdr:col>27</xdr:col>
      <xdr:colOff>15875</xdr:colOff>
      <xdr:row>24</xdr:row>
      <xdr:rowOff>105833</xdr:rowOff>
    </xdr:to>
    <xdr:sp macro="" textlink="">
      <xdr:nvSpPr>
        <xdr:cNvPr id="16" name="Rounded Rectangle 15"/>
        <xdr:cNvSpPr/>
      </xdr:nvSpPr>
      <xdr:spPr>
        <a:xfrm>
          <a:off x="15509874" y="10584"/>
          <a:ext cx="1936751" cy="4413249"/>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100541</xdr:colOff>
      <xdr:row>0</xdr:row>
      <xdr:rowOff>169333</xdr:rowOff>
    </xdr:from>
    <xdr:to>
      <xdr:col>26</xdr:col>
      <xdr:colOff>603250</xdr:colOff>
      <xdr:row>23</xdr:row>
      <xdr:rowOff>100542</xdr:rowOff>
    </xdr:to>
    <mc:AlternateContent xmlns:mc="http://schemas.openxmlformats.org/markup-compatibility/2006" xmlns:a14="http://schemas.microsoft.com/office/drawing/2010/main">
      <mc:Choice Requires="a14">
        <xdr:graphicFrame macro="">
          <xdr:nvGraphicFramePr>
            <xdr:cNvPr id="13"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5664796" y="169333"/>
              <a:ext cx="1799731" cy="4126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21166</xdr:colOff>
      <xdr:row>24</xdr:row>
      <xdr:rowOff>137582</xdr:rowOff>
    </xdr:from>
    <xdr:to>
      <xdr:col>27</xdr:col>
      <xdr:colOff>5291</xdr:colOff>
      <xdr:row>42</xdr:row>
      <xdr:rowOff>89957</xdr:rowOff>
    </xdr:to>
    <xdr:sp macro="" textlink="">
      <xdr:nvSpPr>
        <xdr:cNvPr id="17" name="Rounded Rectangle 16"/>
        <xdr:cNvSpPr/>
      </xdr:nvSpPr>
      <xdr:spPr>
        <a:xfrm>
          <a:off x="15515166" y="4455582"/>
          <a:ext cx="1920875" cy="3190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52917</xdr:colOff>
      <xdr:row>25</xdr:row>
      <xdr:rowOff>132292</xdr:rowOff>
    </xdr:from>
    <xdr:to>
      <xdr:col>26</xdr:col>
      <xdr:colOff>539750</xdr:colOff>
      <xdr:row>41</xdr:row>
      <xdr:rowOff>47626</xdr:rowOff>
    </xdr:to>
    <mc:AlternateContent xmlns:mc="http://schemas.openxmlformats.org/markup-compatibility/2006" xmlns:a14="http://schemas.microsoft.com/office/drawing/2010/main">
      <mc:Choice Requires="a14">
        <xdr:graphicFrame macro="">
          <xdr:nvGraphicFramePr>
            <xdr:cNvPr id="1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617172" y="4692132"/>
              <a:ext cx="1783855" cy="2833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hamed_Elbaz" refreshedDate="46167.578791782405" createdVersion="6" refreshedVersion="6" minRefreshableVersion="3" recordCount="200">
  <cacheSource type="worksheet">
    <worksheetSource ref="A2:U202" sheet="Orders"/>
  </cacheSource>
  <cacheFields count="22">
    <cacheField name="Order ID" numFmtId="0">
      <sharedItems/>
    </cacheField>
    <cacheField name="Order Date" numFmtId="166">
      <sharedItems/>
    </cacheField>
    <cacheField name="Clean date" numFmtId="166">
      <sharedItems containsSemiMixedTypes="0" containsNonDate="0" containsDate="1" containsString="0" minDate="2024-01-02T00:00:00" maxDate="2024-12-30T00:00:00" count="154">
        <d v="2024-11-23T00:00:00"/>
        <d v="2024-02-14T00:00:00"/>
        <d v="2024-01-14T00:00:00"/>
        <d v="2024-03-22T00:00:00"/>
        <d v="2024-02-22T00:00:00"/>
        <d v="2024-10-01T00:00:00"/>
        <d v="2024-10-22T00:00:00"/>
        <d v="2024-04-29T00:00:00"/>
        <d v="2024-12-09T00:00:00"/>
        <d v="2024-08-24T00:00:00"/>
        <d v="2024-04-27T00:00:00"/>
        <d v="2024-04-18T00:00:00"/>
        <d v="2024-05-14T00:00:00"/>
        <d v="2024-09-09T00:00:00"/>
        <d v="2024-11-01T00:00:00"/>
        <d v="2024-12-14T00:00:00"/>
        <d v="2024-02-27T00:00:00"/>
        <d v="2024-09-13T00:00:00"/>
        <d v="2024-11-07T00:00:00"/>
        <d v="2024-11-02T00:00:00"/>
        <d v="2024-05-02T00:00:00"/>
        <d v="2024-09-29T00:00:00"/>
        <d v="2024-09-21T00:00:00"/>
        <d v="2024-02-06T00:00:00"/>
        <d v="2024-06-30T00:00:00"/>
        <d v="2024-02-01T00:00:00"/>
        <d v="2024-08-17T00:00:00"/>
        <d v="2024-10-08T00:00:00"/>
        <d v="2024-03-26T00:00:00"/>
        <d v="2024-07-13T00:00:00"/>
        <d v="2024-03-20T00:00:00"/>
        <d v="2024-06-09T00:00:00"/>
        <d v="2024-03-21T00:00:00"/>
        <d v="2024-07-25T00:00:00"/>
        <d v="2024-08-02T00:00:00"/>
        <d v="2024-05-15T00:00:00"/>
        <d v="2024-01-05T00:00:00"/>
        <d v="2024-03-08T00:00:00"/>
        <d v="2024-12-26T00:00:00"/>
        <d v="2024-04-17T00:00:00"/>
        <d v="2024-11-20T00:00:00"/>
        <d v="2024-03-23T00:00:00"/>
        <d v="2024-01-19T00:00:00"/>
        <d v="2024-01-21T00:00:00"/>
        <d v="2024-11-13T00:00:00"/>
        <d v="2024-07-30T00:00:00"/>
        <d v="2024-05-16T00:00:00"/>
        <d v="2024-04-12T00:00:00"/>
        <d v="2024-06-17T00:00:00"/>
        <d v="2024-12-13T00:00:00"/>
        <d v="2024-02-25T00:00:00"/>
        <d v="2024-07-16T00:00:00"/>
        <d v="2024-07-05T00:00:00"/>
        <d v="2024-06-02T00:00:00"/>
        <d v="2024-03-06T00:00:00"/>
        <d v="2024-10-07T00:00:00"/>
        <d v="2024-12-01T00:00:00"/>
        <d v="2024-05-25T00:00:00"/>
        <d v="2024-12-10T00:00:00"/>
        <d v="2024-02-07T00:00:00"/>
        <d v="2024-01-26T00:00:00"/>
        <d v="2024-10-13T00:00:00"/>
        <d v="2024-09-23T00:00:00"/>
        <d v="2024-05-19T00:00:00"/>
        <d v="2024-12-27T00:00:00"/>
        <d v="2024-04-15T00:00:00"/>
        <d v="2024-10-02T00:00:00"/>
        <d v="2024-01-15T00:00:00"/>
        <d v="2024-11-14T00:00:00"/>
        <d v="2024-11-25T00:00:00"/>
        <d v="2024-08-20T00:00:00"/>
        <d v="2024-01-10T00:00:00"/>
        <d v="2024-01-16T00:00:00"/>
        <d v="2024-10-15T00:00:00"/>
        <d v="2024-03-24T00:00:00"/>
        <d v="2024-04-11T00:00:00"/>
        <d v="2024-03-02T00:00:00"/>
        <d v="2024-09-16T00:00:00"/>
        <d v="2024-12-28T00:00:00"/>
        <d v="2024-11-11T00:00:00"/>
        <d v="2024-05-17T00:00:00"/>
        <d v="2024-08-25T00:00:00"/>
        <d v="2024-09-06T00:00:00"/>
        <d v="2024-10-11T00:00:00"/>
        <d v="2024-05-30T00:00:00"/>
        <d v="2024-06-25T00:00:00"/>
        <d v="2024-06-05T00:00:00"/>
        <d v="2024-04-08T00:00:00"/>
        <d v="2024-05-09T00:00:00"/>
        <d v="2024-03-17T00:00:00"/>
        <d v="2024-10-28T00:00:00"/>
        <d v="2024-11-16T00:00:00"/>
        <d v="2024-01-02T00:00:00"/>
        <d v="2024-12-25T00:00:00"/>
        <d v="2024-08-05T00:00:00"/>
        <d v="2024-03-04T00:00:00"/>
        <d v="2024-10-03T00:00:00"/>
        <d v="2024-11-05T00:00:00"/>
        <d v="2024-04-02T00:00:00"/>
        <d v="2024-12-05T00:00:00"/>
        <d v="2024-02-29T00:00:00"/>
        <d v="2024-01-27T00:00:00"/>
        <d v="2024-07-27T00:00:00"/>
        <d v="2024-05-29T00:00:00"/>
        <d v="2024-08-21T00:00:00"/>
        <d v="2024-05-21T00:00:00"/>
        <d v="2024-10-23T00:00:00"/>
        <d v="2024-10-05T00:00:00"/>
        <d v="2024-10-19T00:00:00"/>
        <d v="2024-02-21T00:00:00"/>
        <d v="2024-11-12T00:00:00"/>
        <d v="2024-08-15T00:00:00"/>
        <d v="2024-07-02T00:00:00"/>
        <d v="2024-03-30T00:00:00"/>
        <d v="2024-04-28T00:00:00"/>
        <d v="2024-05-27T00:00:00"/>
        <d v="2024-02-24T00:00:00"/>
        <d v="2024-12-03T00:00:00"/>
        <d v="2024-05-26T00:00:00"/>
        <d v="2024-11-17T00:00:00"/>
        <d v="2024-05-31T00:00:00"/>
        <d v="2024-09-28T00:00:00"/>
        <d v="2024-06-22T00:00:00"/>
        <d v="2024-10-12T00:00:00"/>
        <d v="2024-01-13T00:00:00"/>
        <d v="2024-12-24T00:00:00"/>
        <d v="2024-02-20T00:00:00"/>
        <d v="2024-02-16T00:00:00"/>
        <d v="2024-03-05T00:00:00"/>
        <d v="2024-03-07T00:00:00"/>
        <d v="2024-02-28T00:00:00"/>
        <d v="2024-09-14T00:00:00"/>
        <d v="2024-09-02T00:00:00"/>
        <d v="2024-07-14T00:00:00"/>
        <d v="2024-07-10T00:00:00"/>
        <d v="2024-08-09T00:00:00"/>
        <d v="2024-10-14T00:00:00"/>
        <d v="2024-12-02T00:00:00"/>
        <d v="2024-04-25T00:00:00"/>
        <d v="2024-01-04T00:00:00"/>
        <d v="2024-10-17T00:00:00"/>
        <d v="2024-12-11T00:00:00"/>
        <d v="2024-06-16T00:00:00"/>
        <d v="2024-12-29T00:00:00"/>
        <d v="2024-08-11T00:00:00"/>
        <d v="2024-04-23T00:00:00"/>
        <d v="2024-04-09T00:00:00"/>
        <d v="2024-11-04T00:00:00"/>
        <d v="2024-08-14T00:00:00"/>
        <d v="2024-10-31T00:00:00"/>
        <d v="2024-08-18T00:00:00"/>
        <d v="2024-05-06T00:00:00"/>
        <d v="2024-07-17T00:00:00"/>
        <d v="2024-04-19T00:00:00"/>
      </sharedItems>
      <fieldGroup par="21" base="2">
        <rangePr groupBy="days" startDate="2024-01-02T00:00:00" endDate="2024-12-30T00:00: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4"/>
        </groupItems>
      </fieldGroup>
    </cacheField>
    <cacheField name="Customer ID" numFmtId="0">
      <sharedItems/>
    </cacheField>
    <cacheField name="Customer Name" numFmtId="0">
      <sharedItems count="10">
        <s v="Emily Johnson"/>
        <s v="Megan Thomas"/>
        <s v="Ryan Taylor"/>
        <s v="Daniel Wilson"/>
        <s v="Sarah Williams"/>
        <s v="David Brown"/>
        <s v="James Anderson"/>
        <s v="Ashley Moore"/>
        <s v="Michael Smith"/>
        <s v="Jessica Davis"/>
      </sharedItems>
    </cacheField>
    <cacheField name="City" numFmtId="0">
      <sharedItems/>
    </cacheField>
    <cacheField name="Country" numFmtId="0">
      <sharedItems count="1">
        <s v="USA"/>
      </sharedItems>
    </cacheField>
    <cacheField name="Product ID" numFmtId="0">
      <sharedItems/>
    </cacheField>
    <cacheField name="Product Name" numFmtId="0">
      <sharedItems count="15">
        <s v="iPhone 15 Pro"/>
        <s v="Nike Air Max 270"/>
        <s v="Sony WH-1000XM5 Headphones"/>
        <s v="Slim Fit Jeans"/>
        <s v="Samsung 500L Refrigerator"/>
        <s v="Chanel No.5 Perfume"/>
        <s v="Cotton T-Shirt"/>
        <s v="Nivea Moisturizing Cream"/>
        <s v="Casio G-Shock Watch"/>
        <s v="Python for Beginners"/>
        <s v="Dell XPS Laptop"/>
        <s v="Adidas Ultraboost 22"/>
        <s v="Samsung Galaxy S24"/>
        <s v="Excel Mastery Guide"/>
        <s v="Carrier 1.5 Ton Split AC"/>
      </sharedItems>
    </cacheField>
    <cacheField name="Category" numFmtId="0">
      <sharedItems count="8">
        <s v="Electronics"/>
        <s v="Shoes"/>
        <s v="Clothing"/>
        <s v="Home Appliances"/>
        <s v="Perfumes"/>
        <s v="Beauty"/>
        <s v="Watches"/>
        <s v="Books"/>
      </sharedItems>
    </cacheField>
    <cacheField name="Brand" numFmtId="0">
      <sharedItems/>
    </cacheField>
    <cacheField name="Quantity" numFmtId="0">
      <sharedItems containsSemiMixedTypes="0" containsString="0" containsNumber="1" containsInteger="1" minValue="1" maxValue="5"/>
    </cacheField>
    <cacheField name="Unit Price ($)" numFmtId="164">
      <sharedItems containsSemiMixedTypes="0" containsString="0" containsNumber="1" containsInteger="1" minValue="18" maxValue="1299"/>
    </cacheField>
    <cacheField name="Discount %" numFmtId="165">
      <sharedItems containsSemiMixedTypes="0" containsString="0" containsNumber="1" containsInteger="1" minValue="0" maxValue="20"/>
    </cacheField>
    <cacheField name="Discount Amt ($)" numFmtId="167">
      <sharedItems containsSemiMixedTypes="0" containsString="0" containsNumber="1" minValue="0" maxValue="999"/>
    </cacheField>
    <cacheField name="Shipping ($)" numFmtId="167">
      <sharedItems containsSemiMixedTypes="0" containsString="0" containsNumber="1" containsInteger="1" minValue="0" maxValue="15"/>
    </cacheField>
    <cacheField name="Total ($)" numFmtId="167">
      <sharedItems containsSemiMixedTypes="0" containsString="0" containsNumber="1" minValue="14.4" maxValue="6015"/>
    </cacheField>
    <cacheField name="Profit ($)" numFmtId="167">
      <sharedItems containsSemiMixedTypes="0" containsString="0" containsNumber="1" minValue="2.8800000000000003" maxValue="1200"/>
    </cacheField>
    <cacheField name="Payment Method" numFmtId="0">
      <sharedItems/>
    </cacheField>
    <cacheField name="Order Status" numFmtId="0">
      <sharedItems/>
    </cacheField>
    <cacheField name="Rating (1-5)" numFmtId="0">
      <sharedItems containsString="0" containsBlank="1" containsNumber="1" containsInteger="1" minValue="1" maxValue="5"/>
    </cacheField>
    <cacheField name="Months" numFmtId="0" databaseField="0">
      <fieldGroup base="2">
        <rangePr groupBy="months" startDate="2024-01-02T00:00:00" endDate="2024-12-30T00:00:00"/>
        <groupItems count="14">
          <s v="&lt;1/2/2024"/>
          <s v="Jan"/>
          <s v="Feb"/>
          <s v="Mar"/>
          <s v="Apr"/>
          <s v="May"/>
          <s v="Jun"/>
          <s v="Jul"/>
          <s v="Aug"/>
          <s v="Sep"/>
          <s v="Oct"/>
          <s v="Nov"/>
          <s v="Dec"/>
          <s v="&gt;12/30/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ORD-0001"/>
    <s v="2024-11-23"/>
    <x v="0"/>
    <s v="C002"/>
    <x v="0"/>
    <s v="Los Angeles"/>
    <x v="0"/>
    <s v="P001"/>
    <x v="0"/>
    <x v="0"/>
    <s v="Apple"/>
    <n v="3"/>
    <n v="999"/>
    <n v="0"/>
    <n v="0"/>
    <n v="0"/>
    <n v="2997"/>
    <n v="599.4"/>
    <s v="Visa"/>
    <s v="Delivered"/>
    <n v="5"/>
  </r>
  <r>
    <s v="ORD-0002"/>
    <s v="2024-02-14"/>
    <x v="1"/>
    <s v="C010"/>
    <x v="1"/>
    <s v="San Jose"/>
    <x v="0"/>
    <s v="P007"/>
    <x v="1"/>
    <x v="1"/>
    <s v="Nike"/>
    <n v="1"/>
    <n v="150"/>
    <n v="0"/>
    <n v="0"/>
    <n v="0"/>
    <n v="150"/>
    <n v="30"/>
    <s v="Cash on Delivery"/>
    <s v="Delivered"/>
    <n v="5"/>
  </r>
  <r>
    <s v="ORD-0003"/>
    <s v="2024-01-14"/>
    <x v="2"/>
    <s v="C009"/>
    <x v="2"/>
    <s v="Dallas"/>
    <x v="0"/>
    <s v="P004"/>
    <x v="2"/>
    <x v="0"/>
    <s v="Sony"/>
    <n v="5"/>
    <n v="349"/>
    <n v="5"/>
    <n v="87.25"/>
    <n v="0"/>
    <n v="1657.75"/>
    <n v="331.55"/>
    <s v="PayPal"/>
    <s v="Delivered"/>
    <n v="1"/>
  </r>
  <r>
    <s v="ORD-0004"/>
    <s v="2024-03-22"/>
    <x v="3"/>
    <s v="C007"/>
    <x v="3"/>
    <s v="San Antonio"/>
    <x v="0"/>
    <s v="P006"/>
    <x v="3"/>
    <x v="2"/>
    <s v="Levi's"/>
    <n v="3"/>
    <n v="79"/>
    <n v="0"/>
    <n v="0"/>
    <n v="0"/>
    <n v="237"/>
    <n v="47.400000000000006"/>
    <s v="PayPal"/>
    <s v="Cancelled"/>
    <m/>
  </r>
  <r>
    <s v="ORD-0005"/>
    <s v="2024-02-22"/>
    <x v="4"/>
    <s v="C002"/>
    <x v="0"/>
    <s v="Los Angeles"/>
    <x v="0"/>
    <s v="P007"/>
    <x v="1"/>
    <x v="1"/>
    <s v="Nike"/>
    <n v="1"/>
    <n v="150"/>
    <n v="0"/>
    <n v="0"/>
    <n v="5"/>
    <n v="155"/>
    <n v="30"/>
    <s v="Visa"/>
    <s v="Delivered"/>
    <n v="4"/>
  </r>
  <r>
    <s v="ORD-0006"/>
    <s v="2024-10-01"/>
    <x v="5"/>
    <s v="C002"/>
    <x v="0"/>
    <s v="Los Angeles"/>
    <x v="0"/>
    <s v="P015"/>
    <x v="4"/>
    <x v="3"/>
    <s v="Samsung"/>
    <n v="4"/>
    <n v="1200"/>
    <n v="0"/>
    <n v="0"/>
    <n v="15"/>
    <n v="4815"/>
    <n v="960"/>
    <s v="Cash on Delivery"/>
    <s v="Delivered"/>
    <n v="3"/>
  </r>
  <r>
    <s v="ORD-0007"/>
    <s v="2024-10-22"/>
    <x v="6"/>
    <s v="C004"/>
    <x v="4"/>
    <s v="Houston"/>
    <x v="0"/>
    <s v="P012"/>
    <x v="5"/>
    <x v="4"/>
    <s v="Chanel"/>
    <n v="1"/>
    <n v="320"/>
    <n v="0"/>
    <n v="0"/>
    <n v="0"/>
    <n v="320"/>
    <n v="64"/>
    <s v="Visa"/>
    <s v="Shipped"/>
    <m/>
  </r>
  <r>
    <s v="ORD-0008"/>
    <s v="2024-04-29"/>
    <x v="7"/>
    <s v="C002"/>
    <x v="0"/>
    <s v="Los Angeles"/>
    <x v="0"/>
    <s v="P007"/>
    <x v="1"/>
    <x v="1"/>
    <s v="Nike"/>
    <n v="3"/>
    <n v="150"/>
    <n v="5"/>
    <n v="22.5"/>
    <n v="5"/>
    <n v="432.5"/>
    <n v="85.5"/>
    <s v="PayPal"/>
    <s v="Delivered"/>
    <n v="2"/>
  </r>
  <r>
    <s v="ORD-0009"/>
    <s v="2024-12-09"/>
    <x v="8"/>
    <s v="C005"/>
    <x v="5"/>
    <s v="Phoenix"/>
    <x v="0"/>
    <s v="P012"/>
    <x v="5"/>
    <x v="4"/>
    <s v="Chanel"/>
    <n v="1"/>
    <n v="320"/>
    <n v="10"/>
    <n v="32"/>
    <n v="0"/>
    <n v="288"/>
    <n v="57.6"/>
    <s v="Mastercard"/>
    <s v="Delivered"/>
    <n v="2"/>
  </r>
  <r>
    <s v="ORD-0010"/>
    <s v="2024-08-24"/>
    <x v="9"/>
    <s v="C007"/>
    <x v="3"/>
    <s v="San Antonio"/>
    <x v="0"/>
    <s v="P005"/>
    <x v="6"/>
    <x v="2"/>
    <s v="H&amp;M"/>
    <n v="5"/>
    <n v="29"/>
    <n v="0"/>
    <n v="0"/>
    <n v="5"/>
    <n v="150"/>
    <n v="29"/>
    <s v="Visa"/>
    <s v="Processing"/>
    <m/>
  </r>
  <r>
    <s v="ORD-0011"/>
    <s v="2024-04-27"/>
    <x v="10"/>
    <s v="C001"/>
    <x v="6"/>
    <s v="New York"/>
    <x v="0"/>
    <s v="P013"/>
    <x v="7"/>
    <x v="5"/>
    <s v="Nivea"/>
    <n v="3"/>
    <n v="18"/>
    <n v="5"/>
    <n v="2.7"/>
    <n v="5"/>
    <n v="56.3"/>
    <n v="10.26"/>
    <s v="Cash on Delivery"/>
    <s v="Delivered"/>
    <n v="3"/>
  </r>
  <r>
    <s v="ORD-0012"/>
    <s v="2024-04-18"/>
    <x v="11"/>
    <s v="C008"/>
    <x v="7"/>
    <s v="San Diego"/>
    <x v="0"/>
    <s v="P007"/>
    <x v="1"/>
    <x v="1"/>
    <s v="Nike"/>
    <n v="4"/>
    <n v="150"/>
    <n v="0"/>
    <n v="0"/>
    <n v="5"/>
    <n v="605"/>
    <n v="120"/>
    <s v="Cash on Delivery"/>
    <s v="Delivered"/>
    <n v="5"/>
  </r>
  <r>
    <s v="ORD-0013"/>
    <s v="2024-05-14"/>
    <x v="12"/>
    <s v="C010"/>
    <x v="1"/>
    <s v="San Jose"/>
    <x v="0"/>
    <s v="P007"/>
    <x v="1"/>
    <x v="1"/>
    <s v="Nike"/>
    <n v="5"/>
    <n v="150"/>
    <n v="5"/>
    <n v="37.5"/>
    <n v="5"/>
    <n v="717.5"/>
    <n v="142.5"/>
    <s v="Mastercard"/>
    <s v="Delivered"/>
    <n v="5"/>
  </r>
  <r>
    <s v="ORD-0014"/>
    <s v="2024-09-09"/>
    <x v="13"/>
    <s v="C002"/>
    <x v="0"/>
    <s v="Los Angeles"/>
    <x v="0"/>
    <s v="P013"/>
    <x v="7"/>
    <x v="5"/>
    <s v="Nivea"/>
    <n v="1"/>
    <n v="18"/>
    <n v="20"/>
    <n v="3.6"/>
    <n v="0"/>
    <n v="14.4"/>
    <n v="2.8800000000000003"/>
    <s v="Mastercard"/>
    <s v="Delivered"/>
    <n v="4"/>
  </r>
  <r>
    <s v="ORD-0015"/>
    <s v="2024-11-01"/>
    <x v="14"/>
    <s v="C002"/>
    <x v="0"/>
    <s v="Los Angeles"/>
    <x v="0"/>
    <s v="P007"/>
    <x v="1"/>
    <x v="1"/>
    <s v="Nike"/>
    <n v="4"/>
    <n v="150"/>
    <n v="10"/>
    <n v="60"/>
    <n v="10"/>
    <n v="550"/>
    <n v="108"/>
    <s v="Cash on Delivery"/>
    <s v="Delivered"/>
    <n v="1"/>
  </r>
  <r>
    <s v="ORD-0016"/>
    <s v="2024-12-14"/>
    <x v="15"/>
    <s v="C002"/>
    <x v="0"/>
    <s v="Los Angeles"/>
    <x v="0"/>
    <s v="P011"/>
    <x v="8"/>
    <x v="6"/>
    <s v="Casio"/>
    <n v="5"/>
    <n v="120"/>
    <n v="20"/>
    <n v="120"/>
    <n v="5"/>
    <n v="485"/>
    <n v="96"/>
    <s v="PayPal"/>
    <s v="Shipped"/>
    <m/>
  </r>
  <r>
    <s v="ORD-0017"/>
    <s v="2024-02-27"/>
    <x v="16"/>
    <s v="C005"/>
    <x v="5"/>
    <s v="Phoenix"/>
    <x v="0"/>
    <s v="P007"/>
    <x v="1"/>
    <x v="1"/>
    <s v="Nike"/>
    <n v="2"/>
    <n v="150"/>
    <n v="5"/>
    <n v="15"/>
    <n v="0"/>
    <n v="285"/>
    <n v="57"/>
    <s v="PayPal"/>
    <s v="Cancelled"/>
    <m/>
  </r>
  <r>
    <s v="ORD-0018"/>
    <s v="2024-09-13"/>
    <x v="17"/>
    <s v="C003"/>
    <x v="8"/>
    <s v="Chicago"/>
    <x v="0"/>
    <s v="P009"/>
    <x v="9"/>
    <x v="7"/>
    <s v="O'Reilly"/>
    <n v="1"/>
    <n v="35"/>
    <n v="20"/>
    <n v="7"/>
    <n v="5"/>
    <n v="33"/>
    <n v="5.6000000000000005"/>
    <s v="Cash on Delivery"/>
    <s v="Processing"/>
    <m/>
  </r>
  <r>
    <s v="ORD-0019"/>
    <s v="2024-11-07"/>
    <x v="18"/>
    <s v="C004"/>
    <x v="4"/>
    <s v="Houston"/>
    <x v="0"/>
    <s v="P003"/>
    <x v="10"/>
    <x v="0"/>
    <s v="Dell"/>
    <n v="3"/>
    <n v="1299"/>
    <n v="20"/>
    <n v="779.4"/>
    <n v="0"/>
    <n v="3117.6"/>
    <n v="623.52"/>
    <s v="Cash on Delivery"/>
    <s v="Delivered"/>
    <n v="1"/>
  </r>
  <r>
    <s v="ORD-0020"/>
    <s v="2024-11-02"/>
    <x v="19"/>
    <s v="C006"/>
    <x v="9"/>
    <s v="Philadelphia"/>
    <x v="0"/>
    <s v="P008"/>
    <x v="11"/>
    <x v="1"/>
    <s v="Adidas"/>
    <n v="1"/>
    <n v="180"/>
    <n v="0"/>
    <n v="0"/>
    <n v="5"/>
    <n v="185"/>
    <n v="36"/>
    <s v="PayPal"/>
    <s v="Processing"/>
    <m/>
  </r>
  <r>
    <s v="ORD-0021"/>
    <s v="2024-05-02"/>
    <x v="20"/>
    <s v="C001"/>
    <x v="6"/>
    <s v="New York"/>
    <x v="0"/>
    <s v="P004"/>
    <x v="2"/>
    <x v="0"/>
    <s v="Sony"/>
    <n v="5"/>
    <n v="349"/>
    <n v="0"/>
    <n v="0"/>
    <n v="0"/>
    <n v="1745"/>
    <n v="349"/>
    <s v="Visa"/>
    <s v="Shipped"/>
    <m/>
  </r>
  <r>
    <s v="ORD-0022"/>
    <s v="2024-09-29"/>
    <x v="21"/>
    <s v="C003"/>
    <x v="8"/>
    <s v="Chicago"/>
    <x v="0"/>
    <s v="P003"/>
    <x v="10"/>
    <x v="0"/>
    <s v="Dell"/>
    <n v="4"/>
    <n v="1299"/>
    <n v="10"/>
    <n v="519.6"/>
    <n v="0"/>
    <n v="4676.3999999999996"/>
    <n v="935.28"/>
    <s v="Cash on Delivery"/>
    <s v="Delivered"/>
    <n v="4"/>
  </r>
  <r>
    <s v="ORD-0023"/>
    <s v="2024-04-18"/>
    <x v="11"/>
    <s v="C009"/>
    <x v="2"/>
    <s v="Dallas"/>
    <x v="0"/>
    <s v="P013"/>
    <x v="7"/>
    <x v="5"/>
    <s v="Nivea"/>
    <n v="2"/>
    <n v="18"/>
    <n v="15"/>
    <n v="5.4"/>
    <n v="5"/>
    <n v="35.6"/>
    <n v="6.120000000000001"/>
    <s v="PayPal"/>
    <s v="Delivered"/>
    <n v="4"/>
  </r>
  <r>
    <s v="ORD-0024"/>
    <s v="2024-09-21"/>
    <x v="22"/>
    <s v="C008"/>
    <x v="7"/>
    <s v="San Diego"/>
    <x v="0"/>
    <s v="P002"/>
    <x v="12"/>
    <x v="0"/>
    <s v="Samsung"/>
    <n v="2"/>
    <n v="849"/>
    <n v="0"/>
    <n v="0"/>
    <n v="0"/>
    <n v="1698"/>
    <n v="339.6"/>
    <s v="Cash on Delivery"/>
    <s v="Delivered"/>
    <n v="5"/>
  </r>
  <r>
    <s v="ORD-0025"/>
    <s v="2024-04-27"/>
    <x v="10"/>
    <s v="C010"/>
    <x v="1"/>
    <s v="San Jose"/>
    <x v="0"/>
    <s v="P004"/>
    <x v="2"/>
    <x v="0"/>
    <s v="Sony"/>
    <n v="1"/>
    <n v="349"/>
    <n v="0"/>
    <n v="0"/>
    <n v="0"/>
    <n v="349"/>
    <n v="69.8"/>
    <s v="Visa"/>
    <s v="Delivered"/>
    <n v="3"/>
  </r>
  <r>
    <s v="ORD-0026"/>
    <s v="2024-02-06"/>
    <x v="23"/>
    <s v="C009"/>
    <x v="2"/>
    <s v="Dallas"/>
    <x v="0"/>
    <s v="P004"/>
    <x v="2"/>
    <x v="0"/>
    <s v="Sony"/>
    <n v="3"/>
    <n v="349"/>
    <n v="15"/>
    <n v="157.05000000000001"/>
    <n v="10"/>
    <n v="899.95"/>
    <n v="177.99"/>
    <s v="Mastercard"/>
    <s v="Delivered"/>
    <n v="5"/>
  </r>
  <r>
    <s v="ORD-0027"/>
    <s v="2024-10-22"/>
    <x v="6"/>
    <s v="C008"/>
    <x v="7"/>
    <s v="San Diego"/>
    <x v="0"/>
    <s v="P004"/>
    <x v="2"/>
    <x v="0"/>
    <s v="Sony"/>
    <n v="4"/>
    <n v="349"/>
    <n v="20"/>
    <n v="279.2"/>
    <n v="10"/>
    <n v="1126.8"/>
    <n v="223.36"/>
    <s v="Visa"/>
    <s v="Delivered"/>
    <n v="4"/>
  </r>
  <r>
    <s v="ORD-0028"/>
    <s v="2024-06-30"/>
    <x v="24"/>
    <s v="C007"/>
    <x v="3"/>
    <s v="San Antonio"/>
    <x v="0"/>
    <s v="P007"/>
    <x v="1"/>
    <x v="1"/>
    <s v="Nike"/>
    <n v="4"/>
    <n v="150"/>
    <n v="20"/>
    <n v="120"/>
    <n v="0"/>
    <n v="480"/>
    <n v="96"/>
    <s v="Visa"/>
    <s v="Shipped"/>
    <m/>
  </r>
  <r>
    <s v="ORD-0029"/>
    <s v="2024-02-01"/>
    <x v="25"/>
    <s v="C007"/>
    <x v="3"/>
    <s v="San Antonio"/>
    <x v="0"/>
    <s v="P012"/>
    <x v="5"/>
    <x v="4"/>
    <s v="Chanel"/>
    <n v="3"/>
    <n v="320"/>
    <n v="20"/>
    <n v="192"/>
    <n v="0"/>
    <n v="768"/>
    <n v="153.60000000000002"/>
    <s v="Mastercard"/>
    <s v="Delivered"/>
    <n v="5"/>
  </r>
  <r>
    <s v="ORD-0030"/>
    <s v="2024-08-17"/>
    <x v="26"/>
    <s v="C003"/>
    <x v="8"/>
    <s v="Chicago"/>
    <x v="0"/>
    <s v="P007"/>
    <x v="1"/>
    <x v="1"/>
    <s v="Nike"/>
    <n v="2"/>
    <n v="150"/>
    <n v="0"/>
    <n v="0"/>
    <n v="10"/>
    <n v="310"/>
    <n v="60"/>
    <s v="Visa"/>
    <s v="Delivered"/>
    <n v="4"/>
  </r>
  <r>
    <s v="ORD-0031"/>
    <s v="2024-10-08"/>
    <x v="27"/>
    <s v="C002"/>
    <x v="0"/>
    <s v="Los Angeles"/>
    <x v="0"/>
    <s v="P001"/>
    <x v="0"/>
    <x v="0"/>
    <s v="Apple"/>
    <n v="5"/>
    <n v="999"/>
    <n v="20"/>
    <n v="999"/>
    <n v="0"/>
    <n v="3996"/>
    <n v="799.2"/>
    <s v="Mastercard"/>
    <s v="Cancelled"/>
    <m/>
  </r>
  <r>
    <s v="ORD-0032"/>
    <s v="2024-03-26"/>
    <x v="28"/>
    <s v="C007"/>
    <x v="3"/>
    <s v="San Antonio"/>
    <x v="0"/>
    <s v="P008"/>
    <x v="11"/>
    <x v="1"/>
    <s v="Adidas"/>
    <n v="4"/>
    <n v="180"/>
    <n v="0"/>
    <n v="0"/>
    <n v="10"/>
    <n v="730"/>
    <n v="144"/>
    <s v="Mastercard"/>
    <s v="Cancelled"/>
    <m/>
  </r>
  <r>
    <s v="ORD-0033"/>
    <s v="2024-07-13"/>
    <x v="29"/>
    <s v="C001"/>
    <x v="6"/>
    <s v="New York"/>
    <x v="0"/>
    <s v="P007"/>
    <x v="1"/>
    <x v="1"/>
    <s v="Nike"/>
    <n v="3"/>
    <n v="150"/>
    <n v="20"/>
    <n v="90"/>
    <n v="10"/>
    <n v="370"/>
    <n v="72"/>
    <s v="Cash on Delivery"/>
    <s v="Delivered"/>
    <n v="4"/>
  </r>
  <r>
    <s v="ORD-0034"/>
    <s v="2024-03-20"/>
    <x v="30"/>
    <s v="C004"/>
    <x v="4"/>
    <s v="Houston"/>
    <x v="0"/>
    <s v="P005"/>
    <x v="6"/>
    <x v="2"/>
    <s v="H&amp;M"/>
    <n v="2"/>
    <n v="29"/>
    <n v="0"/>
    <n v="0"/>
    <n v="15"/>
    <n v="73"/>
    <n v="11.600000000000001"/>
    <s v="Visa"/>
    <s v="Shipped"/>
    <m/>
  </r>
  <r>
    <s v="ORD-0035"/>
    <s v="2024-06-09"/>
    <x v="31"/>
    <s v="C001"/>
    <x v="6"/>
    <s v="New York"/>
    <x v="0"/>
    <s v="P001"/>
    <x v="0"/>
    <x v="0"/>
    <s v="Apple"/>
    <n v="5"/>
    <n v="999"/>
    <n v="5"/>
    <n v="249.75"/>
    <n v="15"/>
    <n v="4760.25"/>
    <n v="949.05000000000007"/>
    <s v="Cash on Delivery"/>
    <s v="Cancelled"/>
    <m/>
  </r>
  <r>
    <s v="ORD-0036"/>
    <s v="2024-03-21"/>
    <x v="32"/>
    <s v="C001"/>
    <x v="6"/>
    <s v="New York"/>
    <x v="0"/>
    <s v="P009"/>
    <x v="9"/>
    <x v="7"/>
    <s v="O'Reilly"/>
    <n v="1"/>
    <n v="35"/>
    <n v="20"/>
    <n v="7"/>
    <n v="0"/>
    <n v="28"/>
    <n v="5.6000000000000005"/>
    <s v="Visa"/>
    <s v="Delivered"/>
    <n v="2"/>
  </r>
  <r>
    <s v="ORD-0037"/>
    <s v="2024-07-25"/>
    <x v="33"/>
    <s v="C002"/>
    <x v="0"/>
    <s v="Los Angeles"/>
    <x v="0"/>
    <s v="P015"/>
    <x v="4"/>
    <x v="3"/>
    <s v="Samsung"/>
    <n v="5"/>
    <n v="1200"/>
    <n v="0"/>
    <n v="0"/>
    <n v="15"/>
    <n v="6015"/>
    <n v="1200"/>
    <s v="Cash on Delivery"/>
    <s v="Delivered"/>
    <n v="1"/>
  </r>
  <r>
    <s v="ORD-0038"/>
    <s v="2024-08-02"/>
    <x v="34"/>
    <s v="C010"/>
    <x v="1"/>
    <s v="San Jose"/>
    <x v="0"/>
    <s v="P010"/>
    <x v="13"/>
    <x v="7"/>
    <s v="Wiley"/>
    <n v="5"/>
    <n v="28"/>
    <n v="0"/>
    <n v="0"/>
    <n v="5"/>
    <n v="145"/>
    <n v="28"/>
    <s v="PayPal"/>
    <s v="Delivered"/>
    <n v="2"/>
  </r>
  <r>
    <s v="ORD-0039"/>
    <s v="2024-05-15"/>
    <x v="35"/>
    <s v="C007"/>
    <x v="3"/>
    <s v="San Antonio"/>
    <x v="0"/>
    <s v="P003"/>
    <x v="10"/>
    <x v="0"/>
    <s v="Dell"/>
    <n v="3"/>
    <n v="1299"/>
    <n v="5"/>
    <n v="194.85"/>
    <n v="5"/>
    <n v="3707.15"/>
    <n v="740.43000000000006"/>
    <s v="Visa"/>
    <s v="Cancelled"/>
    <m/>
  </r>
  <r>
    <s v="ORD-0040"/>
    <s v="2024-01-05"/>
    <x v="36"/>
    <s v="C008"/>
    <x v="7"/>
    <s v="San Diego"/>
    <x v="0"/>
    <s v="P010"/>
    <x v="13"/>
    <x v="7"/>
    <s v="Wiley"/>
    <n v="5"/>
    <n v="28"/>
    <n v="0"/>
    <n v="0"/>
    <n v="0"/>
    <n v="140"/>
    <n v="28"/>
    <s v="Cash on Delivery"/>
    <s v="Delivered"/>
    <n v="3"/>
  </r>
  <r>
    <s v="ORD-0041"/>
    <s v="2024-03-08"/>
    <x v="37"/>
    <s v="C006"/>
    <x v="9"/>
    <s v="Philadelphia"/>
    <x v="0"/>
    <s v="P015"/>
    <x v="4"/>
    <x v="3"/>
    <s v="Samsung"/>
    <n v="1"/>
    <n v="1200"/>
    <n v="0"/>
    <n v="0"/>
    <n v="5"/>
    <n v="1205"/>
    <n v="240"/>
    <s v="Apple Pay"/>
    <s v="Delivered"/>
    <n v="5"/>
  </r>
  <r>
    <s v="ORD-0042"/>
    <s v="2024-12-26"/>
    <x v="38"/>
    <s v="C005"/>
    <x v="5"/>
    <s v="Phoenix"/>
    <x v="0"/>
    <s v="P010"/>
    <x v="13"/>
    <x v="7"/>
    <s v="Wiley"/>
    <n v="5"/>
    <n v="28"/>
    <n v="0"/>
    <n v="0"/>
    <n v="15"/>
    <n v="155"/>
    <n v="28"/>
    <s v="Visa"/>
    <s v="Delivered"/>
    <n v="2"/>
  </r>
  <r>
    <s v="ORD-0043"/>
    <s v="2024-05-15"/>
    <x v="35"/>
    <s v="C002"/>
    <x v="0"/>
    <s v="Los Angeles"/>
    <x v="0"/>
    <s v="P015"/>
    <x v="4"/>
    <x v="3"/>
    <s v="Samsung"/>
    <n v="1"/>
    <n v="1200"/>
    <n v="15"/>
    <n v="180"/>
    <n v="15"/>
    <n v="1035"/>
    <n v="204"/>
    <s v="PayPal"/>
    <s v="Delivered"/>
    <n v="5"/>
  </r>
  <r>
    <s v="ORD-0044"/>
    <s v="2024-04-17"/>
    <x v="39"/>
    <s v="C006"/>
    <x v="9"/>
    <s v="Philadelphia"/>
    <x v="0"/>
    <s v="P004"/>
    <x v="2"/>
    <x v="0"/>
    <s v="Sony"/>
    <n v="3"/>
    <n v="349"/>
    <n v="10"/>
    <n v="104.7"/>
    <n v="10"/>
    <n v="952.3"/>
    <n v="188.46"/>
    <s v="Visa"/>
    <s v="Delivered"/>
    <n v="1"/>
  </r>
  <r>
    <s v="ORD-0045"/>
    <s v="2024-11-20"/>
    <x v="40"/>
    <s v="C007"/>
    <x v="3"/>
    <s v="San Antonio"/>
    <x v="0"/>
    <s v="P014"/>
    <x v="14"/>
    <x v="3"/>
    <s v="Carrier"/>
    <n v="3"/>
    <n v="750"/>
    <n v="0"/>
    <n v="0"/>
    <n v="0"/>
    <n v="2250"/>
    <n v="450"/>
    <s v="Mastercard"/>
    <s v="Delivered"/>
    <n v="3"/>
  </r>
  <r>
    <s v="ORD-0046"/>
    <s v="2024-03-23"/>
    <x v="41"/>
    <s v="C008"/>
    <x v="7"/>
    <s v="San Diego"/>
    <x v="0"/>
    <s v="P009"/>
    <x v="9"/>
    <x v="7"/>
    <s v="O'Reilly"/>
    <n v="4"/>
    <n v="35"/>
    <n v="10"/>
    <n v="14"/>
    <n v="0"/>
    <n v="126"/>
    <n v="25.200000000000003"/>
    <s v="Mastercard"/>
    <s v="Delivered"/>
    <n v="5"/>
  </r>
  <r>
    <s v="ORD-0047"/>
    <s v="2024-01-19"/>
    <x v="42"/>
    <s v="C006"/>
    <x v="9"/>
    <s v="Philadelphia"/>
    <x v="0"/>
    <s v="P010"/>
    <x v="13"/>
    <x v="7"/>
    <s v="Wiley"/>
    <n v="5"/>
    <n v="28"/>
    <n v="0"/>
    <n v="0"/>
    <n v="10"/>
    <n v="150"/>
    <n v="28"/>
    <s v="PayPal"/>
    <s v="Delivered"/>
    <n v="3"/>
  </r>
  <r>
    <s v="ORD-0048"/>
    <s v="2024-01-21"/>
    <x v="43"/>
    <s v="C006"/>
    <x v="9"/>
    <s v="Philadelphia"/>
    <x v="0"/>
    <s v="P004"/>
    <x v="2"/>
    <x v="0"/>
    <s v="Sony"/>
    <n v="2"/>
    <n v="349"/>
    <n v="15"/>
    <n v="104.7"/>
    <n v="0"/>
    <n v="593.29999999999995"/>
    <n v="118.66"/>
    <s v="Cash on Delivery"/>
    <s v="Delivered"/>
    <n v="4"/>
  </r>
  <r>
    <s v="ORD-0049"/>
    <s v="2024-11-13"/>
    <x v="44"/>
    <s v="C003"/>
    <x v="8"/>
    <s v="Chicago"/>
    <x v="0"/>
    <s v="P015"/>
    <x v="4"/>
    <x v="3"/>
    <s v="Samsung"/>
    <n v="2"/>
    <n v="1200"/>
    <n v="20"/>
    <n v="480"/>
    <n v="0"/>
    <n v="1920"/>
    <n v="384"/>
    <s v="Mastercard"/>
    <s v="Returned"/>
    <m/>
  </r>
  <r>
    <s v="ORD-0050"/>
    <s v="2024-07-30"/>
    <x v="45"/>
    <s v="C001"/>
    <x v="6"/>
    <s v="New York"/>
    <x v="0"/>
    <s v="P003"/>
    <x v="10"/>
    <x v="0"/>
    <s v="Dell"/>
    <n v="3"/>
    <n v="1299"/>
    <n v="20"/>
    <n v="779.4"/>
    <n v="10"/>
    <n v="3127.6"/>
    <n v="623.52"/>
    <s v="Mastercard"/>
    <s v="Processing"/>
    <m/>
  </r>
  <r>
    <s v="ORD-0051"/>
    <s v="2024-05-16"/>
    <x v="46"/>
    <s v="C003"/>
    <x v="8"/>
    <s v="Chicago"/>
    <x v="0"/>
    <s v="P013"/>
    <x v="7"/>
    <x v="5"/>
    <s v="Nivea"/>
    <n v="1"/>
    <n v="18"/>
    <n v="5"/>
    <n v="0.9"/>
    <n v="0"/>
    <n v="17.100000000000001"/>
    <n v="3.4200000000000004"/>
    <s v="Mastercard"/>
    <s v="Processing"/>
    <m/>
  </r>
  <r>
    <s v="ORD-0052"/>
    <s v="2024-04-12"/>
    <x v="47"/>
    <s v="C008"/>
    <x v="7"/>
    <s v="San Diego"/>
    <x v="0"/>
    <s v="P006"/>
    <x v="3"/>
    <x v="2"/>
    <s v="Levi's"/>
    <n v="3"/>
    <n v="79"/>
    <n v="20"/>
    <n v="47.4"/>
    <n v="0"/>
    <n v="189.6"/>
    <n v="37.92"/>
    <s v="Mastercard"/>
    <s v="Delivered"/>
    <n v="4"/>
  </r>
  <r>
    <s v="ORD-0053"/>
    <s v="2024-06-17"/>
    <x v="48"/>
    <s v="C005"/>
    <x v="5"/>
    <s v="Phoenix"/>
    <x v="0"/>
    <s v="P014"/>
    <x v="14"/>
    <x v="3"/>
    <s v="Carrier"/>
    <n v="1"/>
    <n v="750"/>
    <n v="20"/>
    <n v="150"/>
    <n v="5"/>
    <n v="605"/>
    <n v="120"/>
    <s v="Cash on Delivery"/>
    <s v="Delivered"/>
    <n v="4"/>
  </r>
  <r>
    <s v="ORD-0054"/>
    <s v="2024-12-13"/>
    <x v="49"/>
    <s v="C009"/>
    <x v="2"/>
    <s v="Dallas"/>
    <x v="0"/>
    <s v="P006"/>
    <x v="3"/>
    <x v="2"/>
    <s v="Levi's"/>
    <n v="1"/>
    <n v="79"/>
    <n v="0"/>
    <n v="0"/>
    <n v="5"/>
    <n v="84"/>
    <n v="15.8"/>
    <s v="PayPal"/>
    <s v="Delivered"/>
    <n v="1"/>
  </r>
  <r>
    <s v="ORD-0055"/>
    <s v="2024-02-25"/>
    <x v="50"/>
    <s v="C010"/>
    <x v="1"/>
    <s v="San Jose"/>
    <x v="0"/>
    <s v="P007"/>
    <x v="1"/>
    <x v="1"/>
    <s v="Nike"/>
    <n v="3"/>
    <n v="150"/>
    <n v="15"/>
    <n v="67.5"/>
    <n v="5"/>
    <n v="387.5"/>
    <n v="76.5"/>
    <s v="Cash on Delivery"/>
    <s v="Delivered"/>
    <n v="1"/>
  </r>
  <r>
    <s v="ORD-0056"/>
    <s v="2024-07-16"/>
    <x v="51"/>
    <s v="C010"/>
    <x v="1"/>
    <s v="San Jose"/>
    <x v="0"/>
    <s v="P004"/>
    <x v="2"/>
    <x v="0"/>
    <s v="Sony"/>
    <n v="3"/>
    <n v="349"/>
    <n v="0"/>
    <n v="0"/>
    <n v="10"/>
    <n v="1057"/>
    <n v="209.4"/>
    <s v="Cash on Delivery"/>
    <s v="Delivered"/>
    <n v="2"/>
  </r>
  <r>
    <s v="ORD-0057"/>
    <s v="2024-07-05"/>
    <x v="52"/>
    <s v="C007"/>
    <x v="3"/>
    <s v="San Antonio"/>
    <x v="0"/>
    <s v="P002"/>
    <x v="12"/>
    <x v="0"/>
    <s v="Samsung"/>
    <n v="3"/>
    <n v="849"/>
    <n v="10"/>
    <n v="254.7"/>
    <n v="5"/>
    <n v="2297.3000000000002"/>
    <n v="458.46000000000004"/>
    <s v="Visa"/>
    <s v="Shipped"/>
    <m/>
  </r>
  <r>
    <s v="ORD-0058"/>
    <s v="2024-06-02"/>
    <x v="53"/>
    <s v="C009"/>
    <x v="2"/>
    <s v="Dallas"/>
    <x v="0"/>
    <s v="P005"/>
    <x v="6"/>
    <x v="2"/>
    <s v="H&amp;M"/>
    <n v="4"/>
    <n v="29"/>
    <n v="0"/>
    <n v="0"/>
    <n v="10"/>
    <n v="126"/>
    <n v="23.200000000000003"/>
    <s v="Cash on Delivery"/>
    <s v="Shipped"/>
    <m/>
  </r>
  <r>
    <s v="ORD-0059"/>
    <s v="2024-03-06"/>
    <x v="54"/>
    <s v="C004"/>
    <x v="4"/>
    <s v="Houston"/>
    <x v="0"/>
    <s v="P007"/>
    <x v="1"/>
    <x v="1"/>
    <s v="Nike"/>
    <n v="4"/>
    <n v="150"/>
    <n v="15"/>
    <n v="90"/>
    <n v="0"/>
    <n v="510"/>
    <n v="102"/>
    <s v="PayPal"/>
    <s v="Delivered"/>
    <n v="4"/>
  </r>
  <r>
    <s v="ORD-0060"/>
    <s v="2024-10-07"/>
    <x v="55"/>
    <s v="C001"/>
    <x v="6"/>
    <s v="New York"/>
    <x v="0"/>
    <s v="P005"/>
    <x v="6"/>
    <x v="2"/>
    <s v="H&amp;M"/>
    <n v="3"/>
    <n v="29"/>
    <n v="0"/>
    <n v="0"/>
    <n v="10"/>
    <n v="97"/>
    <n v="17.400000000000002"/>
    <s v="Cash on Delivery"/>
    <s v="Shipped"/>
    <m/>
  </r>
  <r>
    <s v="ORD-0061"/>
    <s v="2024-12-01"/>
    <x v="56"/>
    <s v="C006"/>
    <x v="9"/>
    <s v="Philadelphia"/>
    <x v="0"/>
    <s v="P008"/>
    <x v="11"/>
    <x v="1"/>
    <s v="Adidas"/>
    <n v="4"/>
    <n v="180"/>
    <n v="5"/>
    <n v="36"/>
    <n v="0"/>
    <n v="684"/>
    <n v="136.80000000000001"/>
    <s v="Mastercard"/>
    <s v="Delivered"/>
    <n v="1"/>
  </r>
  <r>
    <s v="ORD-0062"/>
    <s v="2024-05-25"/>
    <x v="57"/>
    <s v="C009"/>
    <x v="2"/>
    <s v="Dallas"/>
    <x v="0"/>
    <s v="P011"/>
    <x v="8"/>
    <x v="6"/>
    <s v="Casio"/>
    <n v="5"/>
    <n v="120"/>
    <n v="0"/>
    <n v="0"/>
    <n v="0"/>
    <n v="600"/>
    <n v="120"/>
    <s v="Mastercard"/>
    <s v="Processing"/>
    <m/>
  </r>
  <r>
    <s v="ORD-0063"/>
    <s v="2024-12-10"/>
    <x v="58"/>
    <s v="C005"/>
    <x v="5"/>
    <s v="Phoenix"/>
    <x v="0"/>
    <s v="P004"/>
    <x v="2"/>
    <x v="0"/>
    <s v="Sony"/>
    <n v="2"/>
    <n v="349"/>
    <n v="0"/>
    <n v="0"/>
    <n v="0"/>
    <n v="698"/>
    <n v="139.6"/>
    <s v="Apple Pay"/>
    <s v="Delivered"/>
    <n v="5"/>
  </r>
  <r>
    <s v="ORD-0064"/>
    <s v="2024-02-07"/>
    <x v="59"/>
    <s v="C008"/>
    <x v="7"/>
    <s v="San Diego"/>
    <x v="0"/>
    <s v="P007"/>
    <x v="1"/>
    <x v="1"/>
    <s v="Nike"/>
    <n v="5"/>
    <n v="150"/>
    <n v="0"/>
    <n v="0"/>
    <n v="10"/>
    <n v="760"/>
    <n v="150"/>
    <s v="Mastercard"/>
    <s v="Delivered"/>
    <n v="2"/>
  </r>
  <r>
    <s v="ORD-0065"/>
    <s v="2024-12-01"/>
    <x v="56"/>
    <s v="C001"/>
    <x v="6"/>
    <s v="New York"/>
    <x v="0"/>
    <s v="P015"/>
    <x v="4"/>
    <x v="3"/>
    <s v="Samsung"/>
    <n v="1"/>
    <n v="1200"/>
    <n v="20"/>
    <n v="240"/>
    <n v="10"/>
    <n v="970"/>
    <n v="192"/>
    <s v="Cash on Delivery"/>
    <s v="Delivered"/>
    <n v="4"/>
  </r>
  <r>
    <s v="ORD-0066"/>
    <s v="2024-01-26"/>
    <x v="60"/>
    <s v="C009"/>
    <x v="2"/>
    <s v="Dallas"/>
    <x v="0"/>
    <s v="P004"/>
    <x v="2"/>
    <x v="0"/>
    <s v="Sony"/>
    <n v="1"/>
    <n v="349"/>
    <n v="5"/>
    <n v="17.45"/>
    <n v="0"/>
    <n v="331.55"/>
    <n v="66.31"/>
    <s v="Cash on Delivery"/>
    <s v="Processing"/>
    <m/>
  </r>
  <r>
    <s v="ORD-0067"/>
    <s v="2024-10-13"/>
    <x v="61"/>
    <s v="C010"/>
    <x v="1"/>
    <s v="San Jose"/>
    <x v="0"/>
    <s v="P006"/>
    <x v="3"/>
    <x v="2"/>
    <s v="Levi's"/>
    <n v="4"/>
    <n v="79"/>
    <n v="10"/>
    <n v="31.6"/>
    <n v="15"/>
    <n v="299.39999999999998"/>
    <n v="56.879999999999995"/>
    <s v="Cash on Delivery"/>
    <s v="Delivered"/>
    <n v="4"/>
  </r>
  <r>
    <s v="ORD-0068"/>
    <s v="2024-03-22"/>
    <x v="3"/>
    <s v="C008"/>
    <x v="7"/>
    <s v="San Diego"/>
    <x v="0"/>
    <s v="P008"/>
    <x v="11"/>
    <x v="1"/>
    <s v="Adidas"/>
    <n v="3"/>
    <n v="180"/>
    <n v="20"/>
    <n v="108"/>
    <n v="0"/>
    <n v="432"/>
    <n v="86.4"/>
    <s v="PayPal"/>
    <s v="Processing"/>
    <m/>
  </r>
  <r>
    <s v="ORD-0069"/>
    <s v="2024-09-23"/>
    <x v="62"/>
    <s v="C008"/>
    <x v="7"/>
    <s v="San Diego"/>
    <x v="0"/>
    <s v="P011"/>
    <x v="8"/>
    <x v="6"/>
    <s v="Casio"/>
    <n v="2"/>
    <n v="120"/>
    <n v="0"/>
    <n v="0"/>
    <n v="10"/>
    <n v="250"/>
    <n v="48"/>
    <s v="PayPal"/>
    <s v="Delivered"/>
    <n v="2"/>
  </r>
  <r>
    <s v="ORD-0070"/>
    <s v="2024-05-19"/>
    <x v="63"/>
    <s v="C006"/>
    <x v="9"/>
    <s v="Philadelphia"/>
    <x v="0"/>
    <s v="P006"/>
    <x v="3"/>
    <x v="2"/>
    <s v="Levi's"/>
    <n v="5"/>
    <n v="79"/>
    <n v="0"/>
    <n v="0"/>
    <n v="0"/>
    <n v="395"/>
    <n v="79"/>
    <s v="Apple Pay"/>
    <s v="Delivered"/>
    <n v="2"/>
  </r>
  <r>
    <s v="ORD-0071"/>
    <s v="2024-12-27"/>
    <x v="64"/>
    <s v="C004"/>
    <x v="4"/>
    <s v="Houston"/>
    <x v="0"/>
    <s v="P002"/>
    <x v="12"/>
    <x v="0"/>
    <s v="Samsung"/>
    <n v="4"/>
    <n v="849"/>
    <n v="5"/>
    <n v="169.8"/>
    <n v="5"/>
    <n v="3231.2"/>
    <n v="645.24"/>
    <s v="Apple Pay"/>
    <s v="Delivered"/>
    <n v="1"/>
  </r>
  <r>
    <s v="ORD-0072"/>
    <s v="2024-04-15"/>
    <x v="65"/>
    <s v="C007"/>
    <x v="3"/>
    <s v="San Antonio"/>
    <x v="0"/>
    <s v="P007"/>
    <x v="1"/>
    <x v="1"/>
    <s v="Nike"/>
    <n v="5"/>
    <n v="150"/>
    <n v="15"/>
    <n v="112.5"/>
    <n v="0"/>
    <n v="637.5"/>
    <n v="127.5"/>
    <s v="Cash on Delivery"/>
    <s v="Processing"/>
    <m/>
  </r>
  <r>
    <s v="ORD-0073"/>
    <s v="2024-07-13"/>
    <x v="29"/>
    <s v="C008"/>
    <x v="7"/>
    <s v="San Diego"/>
    <x v="0"/>
    <s v="P001"/>
    <x v="0"/>
    <x v="0"/>
    <s v="Apple"/>
    <n v="3"/>
    <n v="999"/>
    <n v="0"/>
    <n v="0"/>
    <n v="10"/>
    <n v="3007"/>
    <n v="599.4"/>
    <s v="Apple Pay"/>
    <s v="Processing"/>
    <m/>
  </r>
  <r>
    <s v="ORD-0074"/>
    <s v="2024-10-02"/>
    <x v="66"/>
    <s v="C009"/>
    <x v="2"/>
    <s v="Dallas"/>
    <x v="0"/>
    <s v="P013"/>
    <x v="7"/>
    <x v="5"/>
    <s v="Nivea"/>
    <n v="5"/>
    <n v="18"/>
    <n v="0"/>
    <n v="0"/>
    <n v="10"/>
    <n v="100"/>
    <n v="18"/>
    <s v="Apple Pay"/>
    <s v="Delivered"/>
    <n v="4"/>
  </r>
  <r>
    <s v="ORD-0075"/>
    <s v="2024-01-15"/>
    <x v="67"/>
    <s v="C007"/>
    <x v="3"/>
    <s v="San Antonio"/>
    <x v="0"/>
    <s v="P006"/>
    <x v="3"/>
    <x v="2"/>
    <s v="Levi's"/>
    <n v="4"/>
    <n v="79"/>
    <n v="15"/>
    <n v="47.4"/>
    <n v="0"/>
    <n v="268.60000000000002"/>
    <n v="53.720000000000006"/>
    <s v="Mastercard"/>
    <s v="Processing"/>
    <m/>
  </r>
  <r>
    <s v="ORD-0076"/>
    <s v="2024-11-14"/>
    <x v="68"/>
    <s v="C009"/>
    <x v="2"/>
    <s v="Dallas"/>
    <x v="0"/>
    <s v="P001"/>
    <x v="0"/>
    <x v="0"/>
    <s v="Apple"/>
    <n v="4"/>
    <n v="999"/>
    <n v="10"/>
    <n v="399.6"/>
    <n v="15"/>
    <n v="3611.4"/>
    <n v="719.28000000000009"/>
    <s v="Visa"/>
    <s v="Shipped"/>
    <m/>
  </r>
  <r>
    <s v="ORD-0077"/>
    <s v="2024-11-25"/>
    <x v="69"/>
    <s v="C007"/>
    <x v="3"/>
    <s v="San Antonio"/>
    <x v="0"/>
    <s v="P003"/>
    <x v="10"/>
    <x v="0"/>
    <s v="Dell"/>
    <n v="4"/>
    <n v="1299"/>
    <n v="0"/>
    <n v="0"/>
    <n v="0"/>
    <n v="5196"/>
    <n v="1039.2"/>
    <s v="PayPal"/>
    <s v="Delivered"/>
    <n v="2"/>
  </r>
  <r>
    <s v="ORD-0078"/>
    <s v="2024-08-20"/>
    <x v="70"/>
    <s v="C006"/>
    <x v="9"/>
    <s v="Philadelphia"/>
    <x v="0"/>
    <s v="P006"/>
    <x v="3"/>
    <x v="2"/>
    <s v="Levi's"/>
    <n v="4"/>
    <n v="79"/>
    <n v="0"/>
    <n v="0"/>
    <n v="10"/>
    <n v="326"/>
    <n v="63.2"/>
    <s v="Visa"/>
    <s v="Delivered"/>
    <n v="4"/>
  </r>
  <r>
    <s v="ORD-0079"/>
    <s v="2024-01-10"/>
    <x v="71"/>
    <s v="C009"/>
    <x v="2"/>
    <s v="Dallas"/>
    <x v="0"/>
    <s v="P001"/>
    <x v="0"/>
    <x v="0"/>
    <s v="Apple"/>
    <n v="3"/>
    <n v="999"/>
    <n v="0"/>
    <n v="0"/>
    <n v="0"/>
    <n v="2997"/>
    <n v="599.4"/>
    <s v="Visa"/>
    <s v="Shipped"/>
    <m/>
  </r>
  <r>
    <s v="ORD-0080"/>
    <s v="2024-01-16"/>
    <x v="72"/>
    <s v="C004"/>
    <x v="4"/>
    <s v="Houston"/>
    <x v="0"/>
    <s v="P004"/>
    <x v="2"/>
    <x v="0"/>
    <s v="Sony"/>
    <n v="1"/>
    <n v="349"/>
    <n v="10"/>
    <n v="34.9"/>
    <n v="0"/>
    <n v="314.10000000000002"/>
    <n v="62.820000000000007"/>
    <s v="Apple Pay"/>
    <s v="Delivered"/>
    <n v="1"/>
  </r>
  <r>
    <s v="ORD-0081"/>
    <s v="2024-10-15"/>
    <x v="73"/>
    <s v="C004"/>
    <x v="4"/>
    <s v="Houston"/>
    <x v="0"/>
    <s v="P008"/>
    <x v="11"/>
    <x v="1"/>
    <s v="Adidas"/>
    <n v="3"/>
    <n v="180"/>
    <n v="20"/>
    <n v="108"/>
    <n v="5"/>
    <n v="437"/>
    <n v="86.4"/>
    <s v="Cash on Delivery"/>
    <s v="Delivered"/>
    <n v="1"/>
  </r>
  <r>
    <s v="ORD-0082"/>
    <s v="2024-03-24"/>
    <x v="74"/>
    <s v="C005"/>
    <x v="5"/>
    <s v="Phoenix"/>
    <x v="0"/>
    <s v="P002"/>
    <x v="12"/>
    <x v="0"/>
    <s v="Samsung"/>
    <n v="5"/>
    <n v="849"/>
    <n v="0"/>
    <n v="0"/>
    <n v="5"/>
    <n v="4250"/>
    <n v="849"/>
    <s v="Apple Pay"/>
    <s v="Delivered"/>
    <n v="4"/>
  </r>
  <r>
    <s v="ORD-0083"/>
    <s v="2024-04-11"/>
    <x v="75"/>
    <s v="C002"/>
    <x v="0"/>
    <s v="Los Angeles"/>
    <x v="0"/>
    <s v="P010"/>
    <x v="13"/>
    <x v="7"/>
    <s v="Wiley"/>
    <n v="2"/>
    <n v="28"/>
    <n v="0"/>
    <n v="0"/>
    <n v="5"/>
    <n v="61"/>
    <n v="11.200000000000001"/>
    <s v="Cash on Delivery"/>
    <s v="Processing"/>
    <m/>
  </r>
  <r>
    <s v="ORD-0084"/>
    <s v="2024-03-02"/>
    <x v="76"/>
    <s v="C010"/>
    <x v="1"/>
    <s v="San Jose"/>
    <x v="0"/>
    <s v="P013"/>
    <x v="7"/>
    <x v="5"/>
    <s v="Nivea"/>
    <n v="1"/>
    <n v="18"/>
    <n v="0"/>
    <n v="0"/>
    <n v="15"/>
    <n v="33"/>
    <n v="3.6"/>
    <s v="PayPal"/>
    <s v="Delivered"/>
    <n v="1"/>
  </r>
  <r>
    <s v="ORD-0085"/>
    <s v="2024-09-16"/>
    <x v="77"/>
    <s v="C006"/>
    <x v="9"/>
    <s v="Philadelphia"/>
    <x v="0"/>
    <s v="P001"/>
    <x v="0"/>
    <x v="0"/>
    <s v="Apple"/>
    <n v="4"/>
    <n v="999"/>
    <n v="20"/>
    <n v="799.2"/>
    <n v="10"/>
    <n v="3206.8"/>
    <n v="639.36000000000013"/>
    <s v="PayPal"/>
    <s v="Delivered"/>
    <n v="4"/>
  </r>
  <r>
    <s v="ORD-0086"/>
    <s v="2024-12-28"/>
    <x v="78"/>
    <s v="C003"/>
    <x v="8"/>
    <s v="Chicago"/>
    <x v="0"/>
    <s v="P007"/>
    <x v="1"/>
    <x v="1"/>
    <s v="Nike"/>
    <n v="2"/>
    <n v="150"/>
    <n v="15"/>
    <n v="45"/>
    <n v="15"/>
    <n v="270"/>
    <n v="51"/>
    <s v="PayPal"/>
    <s v="Cancelled"/>
    <m/>
  </r>
  <r>
    <s v="ORD-0087"/>
    <s v="2024-11-11"/>
    <x v="79"/>
    <s v="C009"/>
    <x v="2"/>
    <s v="Dallas"/>
    <x v="0"/>
    <s v="P013"/>
    <x v="7"/>
    <x v="5"/>
    <s v="Nivea"/>
    <n v="4"/>
    <n v="18"/>
    <n v="5"/>
    <n v="3.6"/>
    <n v="10"/>
    <n v="78.400000000000006"/>
    <n v="13.680000000000001"/>
    <s v="Cash on Delivery"/>
    <s v="Processing"/>
    <m/>
  </r>
  <r>
    <s v="ORD-0088"/>
    <s v="2024-05-17"/>
    <x v="80"/>
    <s v="C006"/>
    <x v="9"/>
    <s v="Philadelphia"/>
    <x v="0"/>
    <s v="P014"/>
    <x v="14"/>
    <x v="3"/>
    <s v="Carrier"/>
    <n v="2"/>
    <n v="750"/>
    <n v="20"/>
    <n v="300"/>
    <n v="0"/>
    <n v="1200"/>
    <n v="240"/>
    <s v="Apple Pay"/>
    <s v="Delivered"/>
    <n v="2"/>
  </r>
  <r>
    <s v="ORD-0089"/>
    <s v="2024-08-25"/>
    <x v="81"/>
    <s v="C010"/>
    <x v="1"/>
    <s v="San Jose"/>
    <x v="0"/>
    <s v="P010"/>
    <x v="13"/>
    <x v="7"/>
    <s v="Wiley"/>
    <n v="4"/>
    <n v="28"/>
    <n v="0"/>
    <n v="0"/>
    <n v="0"/>
    <n v="112"/>
    <n v="22.400000000000002"/>
    <s v="PayPal"/>
    <s v="Delivered"/>
    <n v="2"/>
  </r>
  <r>
    <s v="ORD-0090"/>
    <s v="2024-09-06"/>
    <x v="82"/>
    <s v="C004"/>
    <x v="4"/>
    <s v="Houston"/>
    <x v="0"/>
    <s v="P006"/>
    <x v="3"/>
    <x v="2"/>
    <s v="Levi's"/>
    <n v="3"/>
    <n v="79"/>
    <n v="0"/>
    <n v="0"/>
    <n v="5"/>
    <n v="242"/>
    <n v="47.400000000000006"/>
    <s v="PayPal"/>
    <s v="Processing"/>
    <m/>
  </r>
  <r>
    <s v="ORD-0091"/>
    <s v="2024-10-11"/>
    <x v="83"/>
    <s v="C001"/>
    <x v="6"/>
    <s v="New York"/>
    <x v="0"/>
    <s v="P009"/>
    <x v="9"/>
    <x v="7"/>
    <s v="O'Reilly"/>
    <n v="2"/>
    <n v="35"/>
    <n v="0"/>
    <n v="0"/>
    <n v="0"/>
    <n v="70"/>
    <n v="14"/>
    <s v="Apple Pay"/>
    <s v="Shipped"/>
    <m/>
  </r>
  <r>
    <s v="ORD-0092"/>
    <s v="2024-10-11"/>
    <x v="83"/>
    <s v="C004"/>
    <x v="4"/>
    <s v="Houston"/>
    <x v="0"/>
    <s v="P012"/>
    <x v="5"/>
    <x v="4"/>
    <s v="Chanel"/>
    <n v="4"/>
    <n v="320"/>
    <n v="15"/>
    <n v="192"/>
    <n v="10"/>
    <n v="1098"/>
    <n v="217.60000000000002"/>
    <s v="Visa"/>
    <s v="Delivered"/>
    <n v="1"/>
  </r>
  <r>
    <s v="ORD-0093"/>
    <s v="2024-05-30"/>
    <x v="84"/>
    <s v="C004"/>
    <x v="4"/>
    <s v="Houston"/>
    <x v="0"/>
    <s v="P007"/>
    <x v="1"/>
    <x v="1"/>
    <s v="Nike"/>
    <n v="2"/>
    <n v="150"/>
    <n v="0"/>
    <n v="0"/>
    <n v="15"/>
    <n v="315"/>
    <n v="60"/>
    <s v="Cash on Delivery"/>
    <s v="Delivered"/>
    <n v="5"/>
  </r>
  <r>
    <s v="ORD-0094"/>
    <s v="2024-06-25"/>
    <x v="85"/>
    <s v="C007"/>
    <x v="3"/>
    <s v="San Antonio"/>
    <x v="0"/>
    <s v="P012"/>
    <x v="5"/>
    <x v="4"/>
    <s v="Chanel"/>
    <n v="5"/>
    <n v="320"/>
    <n v="0"/>
    <n v="0"/>
    <n v="5"/>
    <n v="1605"/>
    <n v="320"/>
    <s v="PayPal"/>
    <s v="Shipped"/>
    <m/>
  </r>
  <r>
    <s v="ORD-0095"/>
    <s v="2024-06-05"/>
    <x v="86"/>
    <s v="C005"/>
    <x v="5"/>
    <s v="Phoenix"/>
    <x v="0"/>
    <s v="P004"/>
    <x v="2"/>
    <x v="0"/>
    <s v="Sony"/>
    <n v="1"/>
    <n v="349"/>
    <n v="15"/>
    <n v="52.35"/>
    <n v="0"/>
    <n v="296.64999999999998"/>
    <n v="59.33"/>
    <s v="Cash on Delivery"/>
    <s v="Delivered"/>
    <n v="2"/>
  </r>
  <r>
    <s v="ORD-0096"/>
    <s v="2024-04-08"/>
    <x v="87"/>
    <s v="C004"/>
    <x v="4"/>
    <s v="Houston"/>
    <x v="0"/>
    <s v="P012"/>
    <x v="5"/>
    <x v="4"/>
    <s v="Chanel"/>
    <n v="4"/>
    <n v="320"/>
    <n v="0"/>
    <n v="0"/>
    <n v="15"/>
    <n v="1295"/>
    <n v="256"/>
    <s v="Cash on Delivery"/>
    <s v="Returned"/>
    <m/>
  </r>
  <r>
    <s v="ORD-0097"/>
    <s v="2024-11-01"/>
    <x v="14"/>
    <s v="C005"/>
    <x v="5"/>
    <s v="Phoenix"/>
    <x v="0"/>
    <s v="P002"/>
    <x v="12"/>
    <x v="0"/>
    <s v="Samsung"/>
    <n v="2"/>
    <n v="849"/>
    <n v="0"/>
    <n v="0"/>
    <n v="0"/>
    <n v="1698"/>
    <n v="339.6"/>
    <s v="PayPal"/>
    <s v="Delivered"/>
    <n v="1"/>
  </r>
  <r>
    <s v="ORD-0098"/>
    <s v="2024-12-28"/>
    <x v="78"/>
    <s v="C009"/>
    <x v="2"/>
    <s v="Dallas"/>
    <x v="0"/>
    <s v="P003"/>
    <x v="10"/>
    <x v="0"/>
    <s v="Dell"/>
    <n v="3"/>
    <n v="1299"/>
    <n v="0"/>
    <n v="0"/>
    <n v="0"/>
    <n v="3897"/>
    <n v="779.40000000000009"/>
    <s v="Mastercard"/>
    <s v="Delivered"/>
    <n v="4"/>
  </r>
  <r>
    <s v="ORD-0099"/>
    <s v="2024-02-22"/>
    <x v="4"/>
    <s v="C001"/>
    <x v="6"/>
    <s v="New York"/>
    <x v="0"/>
    <s v="P010"/>
    <x v="13"/>
    <x v="7"/>
    <s v="Wiley"/>
    <n v="3"/>
    <n v="28"/>
    <n v="5"/>
    <n v="4.2"/>
    <n v="10"/>
    <n v="89.8"/>
    <n v="15.96"/>
    <s v="Mastercard"/>
    <s v="Delivered"/>
    <n v="1"/>
  </r>
  <r>
    <s v="ORD-0100"/>
    <s v="2024-05-09"/>
    <x v="88"/>
    <s v="C008"/>
    <x v="7"/>
    <s v="San Diego"/>
    <x v="0"/>
    <s v="P002"/>
    <x v="12"/>
    <x v="0"/>
    <s v="Samsung"/>
    <n v="1"/>
    <n v="849"/>
    <n v="5"/>
    <n v="42.45"/>
    <n v="10"/>
    <n v="816.55"/>
    <n v="161.31"/>
    <s v="Visa"/>
    <s v="Delivered"/>
    <n v="2"/>
  </r>
  <r>
    <s v="ORD-0101"/>
    <s v="2024-03-17"/>
    <x v="89"/>
    <s v="C010"/>
    <x v="1"/>
    <s v="San Jose"/>
    <x v="0"/>
    <s v="P005"/>
    <x v="6"/>
    <x v="2"/>
    <s v="H&amp;M"/>
    <n v="1"/>
    <n v="29"/>
    <n v="0"/>
    <n v="0"/>
    <n v="0"/>
    <n v="29"/>
    <n v="5.8000000000000007"/>
    <s v="Apple Pay"/>
    <s v="Delivered"/>
    <n v="5"/>
  </r>
  <r>
    <s v="ORD-0102"/>
    <s v="2024-11-01"/>
    <x v="14"/>
    <s v="C010"/>
    <x v="1"/>
    <s v="San Jose"/>
    <x v="0"/>
    <s v="P004"/>
    <x v="2"/>
    <x v="0"/>
    <s v="Sony"/>
    <n v="5"/>
    <n v="349"/>
    <n v="5"/>
    <n v="87.25"/>
    <n v="10"/>
    <n v="1667.75"/>
    <n v="331.55"/>
    <s v="PayPal"/>
    <s v="Cancelled"/>
    <m/>
  </r>
  <r>
    <s v="ORD-0103"/>
    <s v="2024-10-28"/>
    <x v="90"/>
    <s v="C007"/>
    <x v="3"/>
    <s v="San Antonio"/>
    <x v="0"/>
    <s v="P005"/>
    <x v="6"/>
    <x v="2"/>
    <s v="H&amp;M"/>
    <n v="5"/>
    <n v="29"/>
    <n v="10"/>
    <n v="14.5"/>
    <n v="0"/>
    <n v="130.5"/>
    <n v="26.1"/>
    <s v="Visa"/>
    <s v="Delivered"/>
    <n v="2"/>
  </r>
  <r>
    <s v="ORD-0104"/>
    <s v="2024-11-16"/>
    <x v="91"/>
    <s v="C004"/>
    <x v="4"/>
    <s v="Houston"/>
    <x v="0"/>
    <s v="P005"/>
    <x v="6"/>
    <x v="2"/>
    <s v="H&amp;M"/>
    <n v="1"/>
    <n v="29"/>
    <n v="0"/>
    <n v="0"/>
    <n v="0"/>
    <n v="29"/>
    <n v="5.8000000000000007"/>
    <s v="Visa"/>
    <s v="Delivered"/>
    <n v="2"/>
  </r>
  <r>
    <s v="ORD-0105"/>
    <s v="2024-01-02"/>
    <x v="92"/>
    <s v="C007"/>
    <x v="3"/>
    <s v="San Antonio"/>
    <x v="0"/>
    <s v="P008"/>
    <x v="11"/>
    <x v="1"/>
    <s v="Adidas"/>
    <n v="5"/>
    <n v="180"/>
    <n v="5"/>
    <n v="45"/>
    <n v="5"/>
    <n v="860"/>
    <n v="171"/>
    <s v="PayPal"/>
    <s v="Delivered"/>
    <n v="3"/>
  </r>
  <r>
    <s v="ORD-0106"/>
    <s v="2024-12-25"/>
    <x v="93"/>
    <s v="C008"/>
    <x v="7"/>
    <s v="San Diego"/>
    <x v="0"/>
    <s v="P002"/>
    <x v="12"/>
    <x v="0"/>
    <s v="Samsung"/>
    <n v="2"/>
    <n v="849"/>
    <n v="0"/>
    <n v="0"/>
    <n v="15"/>
    <n v="1713"/>
    <n v="339.6"/>
    <s v="Mastercard"/>
    <s v="Shipped"/>
    <m/>
  </r>
  <r>
    <s v="ORD-0107"/>
    <s v="2024-08-05"/>
    <x v="94"/>
    <s v="C002"/>
    <x v="0"/>
    <s v="Los Angeles"/>
    <x v="0"/>
    <s v="P009"/>
    <x v="9"/>
    <x v="7"/>
    <s v="O'Reilly"/>
    <n v="2"/>
    <n v="35"/>
    <n v="15"/>
    <n v="10.5"/>
    <n v="0"/>
    <n v="59.5"/>
    <n v="11.9"/>
    <s v="Mastercard"/>
    <s v="Cancelled"/>
    <m/>
  </r>
  <r>
    <s v="ORD-0108"/>
    <s v="2024-02-06"/>
    <x v="23"/>
    <s v="C001"/>
    <x v="6"/>
    <s v="New York"/>
    <x v="0"/>
    <s v="P003"/>
    <x v="10"/>
    <x v="0"/>
    <s v="Dell"/>
    <n v="3"/>
    <n v="1299"/>
    <n v="10"/>
    <n v="389.7"/>
    <n v="15"/>
    <n v="3522.3"/>
    <n v="701.46"/>
    <s v="Apple Pay"/>
    <s v="Cancelled"/>
    <m/>
  </r>
  <r>
    <s v="ORD-0109"/>
    <s v="2024-03-04"/>
    <x v="95"/>
    <s v="C008"/>
    <x v="7"/>
    <s v="San Diego"/>
    <x v="0"/>
    <s v="P012"/>
    <x v="5"/>
    <x v="4"/>
    <s v="Chanel"/>
    <n v="3"/>
    <n v="320"/>
    <n v="15"/>
    <n v="144"/>
    <n v="10"/>
    <n v="826"/>
    <n v="163.20000000000002"/>
    <s v="Cash on Delivery"/>
    <s v="Cancelled"/>
    <m/>
  </r>
  <r>
    <s v="ORD-0110"/>
    <s v="2024-10-03"/>
    <x v="96"/>
    <s v="C008"/>
    <x v="7"/>
    <s v="San Diego"/>
    <x v="0"/>
    <s v="P008"/>
    <x v="11"/>
    <x v="1"/>
    <s v="Adidas"/>
    <n v="1"/>
    <n v="180"/>
    <n v="10"/>
    <n v="18"/>
    <n v="0"/>
    <n v="162"/>
    <n v="32.4"/>
    <s v="PayPal"/>
    <s v="Processing"/>
    <m/>
  </r>
  <r>
    <s v="ORD-0111"/>
    <s v="2024-11-05"/>
    <x v="97"/>
    <s v="C005"/>
    <x v="5"/>
    <s v="Phoenix"/>
    <x v="0"/>
    <s v="P001"/>
    <x v="0"/>
    <x v="0"/>
    <s v="Apple"/>
    <n v="1"/>
    <n v="999"/>
    <n v="0"/>
    <n v="0"/>
    <n v="15"/>
    <n v="1014"/>
    <n v="199.8"/>
    <s v="Visa"/>
    <s v="Delivered"/>
    <n v="3"/>
  </r>
  <r>
    <s v="ORD-0112"/>
    <s v="2024-10-22"/>
    <x v="6"/>
    <s v="C001"/>
    <x v="6"/>
    <s v="New York"/>
    <x v="0"/>
    <s v="P013"/>
    <x v="7"/>
    <x v="5"/>
    <s v="Nivea"/>
    <n v="2"/>
    <n v="18"/>
    <n v="5"/>
    <n v="1.8"/>
    <n v="15"/>
    <n v="49.2"/>
    <n v="6.8400000000000007"/>
    <s v="PayPal"/>
    <s v="Shipped"/>
    <m/>
  </r>
  <r>
    <s v="ORD-0113"/>
    <s v="2024-04-02"/>
    <x v="98"/>
    <s v="C010"/>
    <x v="1"/>
    <s v="San Jose"/>
    <x v="0"/>
    <s v="P007"/>
    <x v="1"/>
    <x v="1"/>
    <s v="Nike"/>
    <n v="4"/>
    <n v="150"/>
    <n v="0"/>
    <n v="0"/>
    <n v="10"/>
    <n v="610"/>
    <n v="120"/>
    <s v="PayPal"/>
    <s v="Delivered"/>
    <n v="3"/>
  </r>
  <r>
    <s v="ORD-0114"/>
    <s v="2024-12-09"/>
    <x v="8"/>
    <s v="C002"/>
    <x v="0"/>
    <s v="Los Angeles"/>
    <x v="0"/>
    <s v="P014"/>
    <x v="14"/>
    <x v="3"/>
    <s v="Carrier"/>
    <n v="2"/>
    <n v="750"/>
    <n v="0"/>
    <n v="0"/>
    <n v="10"/>
    <n v="1510"/>
    <n v="300"/>
    <s v="PayPal"/>
    <s v="Shipped"/>
    <m/>
  </r>
  <r>
    <s v="ORD-0115"/>
    <s v="2024-12-05"/>
    <x v="99"/>
    <s v="C007"/>
    <x v="3"/>
    <s v="San Antonio"/>
    <x v="0"/>
    <s v="P014"/>
    <x v="14"/>
    <x v="3"/>
    <s v="Carrier"/>
    <n v="5"/>
    <n v="750"/>
    <n v="0"/>
    <n v="0"/>
    <n v="10"/>
    <n v="3760"/>
    <n v="750"/>
    <s v="PayPal"/>
    <s v="Delivered"/>
    <n v="3"/>
  </r>
  <r>
    <s v="ORD-0116"/>
    <s v="2024-02-29"/>
    <x v="100"/>
    <s v="C007"/>
    <x v="3"/>
    <s v="San Antonio"/>
    <x v="0"/>
    <s v="P014"/>
    <x v="14"/>
    <x v="3"/>
    <s v="Carrier"/>
    <n v="5"/>
    <n v="750"/>
    <n v="20"/>
    <n v="750"/>
    <n v="0"/>
    <n v="3000"/>
    <n v="600"/>
    <s v="Cash on Delivery"/>
    <s v="Shipped"/>
    <m/>
  </r>
  <r>
    <s v="ORD-0117"/>
    <s v="2024-08-24"/>
    <x v="9"/>
    <s v="C007"/>
    <x v="3"/>
    <s v="San Antonio"/>
    <x v="0"/>
    <s v="P001"/>
    <x v="0"/>
    <x v="0"/>
    <s v="Apple"/>
    <n v="2"/>
    <n v="999"/>
    <n v="10"/>
    <n v="199.8"/>
    <n v="5"/>
    <n v="1803.2"/>
    <n v="359.64000000000004"/>
    <s v="Apple Pay"/>
    <s v="Delivered"/>
    <n v="4"/>
  </r>
  <r>
    <s v="ORD-0118"/>
    <s v="2024-01-27"/>
    <x v="101"/>
    <s v="C004"/>
    <x v="4"/>
    <s v="Houston"/>
    <x v="0"/>
    <s v="P005"/>
    <x v="6"/>
    <x v="2"/>
    <s v="H&amp;M"/>
    <n v="5"/>
    <n v="29"/>
    <n v="0"/>
    <n v="0"/>
    <n v="5"/>
    <n v="150"/>
    <n v="29"/>
    <s v="Apple Pay"/>
    <s v="Delivered"/>
    <n v="1"/>
  </r>
  <r>
    <s v="ORD-0119"/>
    <s v="2024-01-15"/>
    <x v="67"/>
    <s v="C010"/>
    <x v="1"/>
    <s v="San Jose"/>
    <x v="0"/>
    <s v="P013"/>
    <x v="7"/>
    <x v="5"/>
    <s v="Nivea"/>
    <n v="2"/>
    <n v="18"/>
    <n v="15"/>
    <n v="5.4"/>
    <n v="0"/>
    <n v="30.6"/>
    <n v="6.120000000000001"/>
    <s v="Visa"/>
    <s v="Delivered"/>
    <n v="5"/>
  </r>
  <r>
    <s v="ORD-0120"/>
    <s v="2024-07-27"/>
    <x v="102"/>
    <s v="C002"/>
    <x v="0"/>
    <s v="Los Angeles"/>
    <x v="0"/>
    <s v="P004"/>
    <x v="2"/>
    <x v="0"/>
    <s v="Sony"/>
    <n v="1"/>
    <n v="349"/>
    <n v="5"/>
    <n v="17.45"/>
    <n v="0"/>
    <n v="331.55"/>
    <n v="66.31"/>
    <s v="Mastercard"/>
    <s v="Delivered"/>
    <n v="4"/>
  </r>
  <r>
    <s v="ORD-0121"/>
    <s v="2024-05-29"/>
    <x v="103"/>
    <s v="C009"/>
    <x v="2"/>
    <s v="Dallas"/>
    <x v="0"/>
    <s v="P012"/>
    <x v="5"/>
    <x v="4"/>
    <s v="Chanel"/>
    <n v="3"/>
    <n v="320"/>
    <n v="5"/>
    <n v="48"/>
    <n v="10"/>
    <n v="922"/>
    <n v="182.4"/>
    <s v="Mastercard"/>
    <s v="Returned"/>
    <m/>
  </r>
  <r>
    <s v="ORD-0122"/>
    <s v="2024-08-21"/>
    <x v="104"/>
    <s v="C009"/>
    <x v="2"/>
    <s v="Dallas"/>
    <x v="0"/>
    <s v="P003"/>
    <x v="10"/>
    <x v="0"/>
    <s v="Dell"/>
    <n v="4"/>
    <n v="1299"/>
    <n v="0"/>
    <n v="0"/>
    <n v="15"/>
    <n v="5211"/>
    <n v="1039.2"/>
    <s v="Mastercard"/>
    <s v="Delivered"/>
    <n v="1"/>
  </r>
  <r>
    <s v="ORD-0123"/>
    <s v="2024-05-21"/>
    <x v="105"/>
    <s v="C007"/>
    <x v="3"/>
    <s v="San Antonio"/>
    <x v="0"/>
    <s v="P006"/>
    <x v="3"/>
    <x v="2"/>
    <s v="Levi's"/>
    <n v="5"/>
    <n v="79"/>
    <n v="0"/>
    <n v="0"/>
    <n v="0"/>
    <n v="395"/>
    <n v="79"/>
    <s v="PayPal"/>
    <s v="Delivered"/>
    <n v="5"/>
  </r>
  <r>
    <s v="ORD-0124"/>
    <s v="2024-10-23"/>
    <x v="106"/>
    <s v="C008"/>
    <x v="7"/>
    <s v="San Diego"/>
    <x v="0"/>
    <s v="P014"/>
    <x v="14"/>
    <x v="3"/>
    <s v="Carrier"/>
    <n v="2"/>
    <n v="750"/>
    <n v="5"/>
    <n v="75"/>
    <n v="15"/>
    <n v="1440"/>
    <n v="285"/>
    <s v="PayPal"/>
    <s v="Delivered"/>
    <n v="5"/>
  </r>
  <r>
    <s v="ORD-0125"/>
    <s v="2024-10-05"/>
    <x v="107"/>
    <s v="C007"/>
    <x v="3"/>
    <s v="San Antonio"/>
    <x v="0"/>
    <s v="P008"/>
    <x v="11"/>
    <x v="1"/>
    <s v="Adidas"/>
    <n v="3"/>
    <n v="180"/>
    <n v="20"/>
    <n v="108"/>
    <n v="0"/>
    <n v="432"/>
    <n v="86.4"/>
    <s v="Mastercard"/>
    <s v="Returned"/>
    <m/>
  </r>
  <r>
    <s v="ORD-0126"/>
    <s v="2024-10-19"/>
    <x v="108"/>
    <s v="C007"/>
    <x v="3"/>
    <s v="San Antonio"/>
    <x v="0"/>
    <s v="P004"/>
    <x v="2"/>
    <x v="0"/>
    <s v="Sony"/>
    <n v="4"/>
    <n v="349"/>
    <n v="0"/>
    <n v="0"/>
    <n v="5"/>
    <n v="1401"/>
    <n v="279.2"/>
    <s v="Apple Pay"/>
    <s v="Shipped"/>
    <m/>
  </r>
  <r>
    <s v="ORD-0127"/>
    <s v="2024-07-16"/>
    <x v="51"/>
    <s v="C003"/>
    <x v="8"/>
    <s v="Chicago"/>
    <x v="0"/>
    <s v="P008"/>
    <x v="11"/>
    <x v="1"/>
    <s v="Adidas"/>
    <n v="1"/>
    <n v="180"/>
    <n v="0"/>
    <n v="0"/>
    <n v="15"/>
    <n v="195"/>
    <n v="36"/>
    <s v="PayPal"/>
    <s v="Cancelled"/>
    <m/>
  </r>
  <r>
    <s v="ORD-0128"/>
    <s v="2024-02-21"/>
    <x v="109"/>
    <s v="C008"/>
    <x v="7"/>
    <s v="San Diego"/>
    <x v="0"/>
    <s v="P002"/>
    <x v="12"/>
    <x v="0"/>
    <s v="Samsung"/>
    <n v="5"/>
    <n v="849"/>
    <n v="5"/>
    <n v="212.25"/>
    <n v="0"/>
    <n v="4032.75"/>
    <n v="806.55000000000007"/>
    <s v="Apple Pay"/>
    <s v="Shipped"/>
    <m/>
  </r>
  <r>
    <s v="ORD-0129"/>
    <s v="2024-12-01"/>
    <x v="56"/>
    <s v="C003"/>
    <x v="8"/>
    <s v="Chicago"/>
    <x v="0"/>
    <s v="P002"/>
    <x v="12"/>
    <x v="0"/>
    <s v="Samsung"/>
    <n v="4"/>
    <n v="849"/>
    <n v="20"/>
    <n v="679.2"/>
    <n v="5"/>
    <n v="2721.8"/>
    <n v="543.36"/>
    <s v="Apple Pay"/>
    <s v="Delivered"/>
    <n v="1"/>
  </r>
  <r>
    <s v="ORD-0130"/>
    <s v="2024-06-17"/>
    <x v="48"/>
    <s v="C009"/>
    <x v="2"/>
    <s v="Dallas"/>
    <x v="0"/>
    <s v="P007"/>
    <x v="1"/>
    <x v="1"/>
    <s v="Nike"/>
    <n v="3"/>
    <n v="150"/>
    <n v="15"/>
    <n v="67.5"/>
    <n v="10"/>
    <n v="392.5"/>
    <n v="76.5"/>
    <s v="Visa"/>
    <s v="Processing"/>
    <m/>
  </r>
  <r>
    <s v="ORD-0131"/>
    <s v="2024-11-12"/>
    <x v="110"/>
    <s v="C002"/>
    <x v="0"/>
    <s v="Los Angeles"/>
    <x v="0"/>
    <s v="P004"/>
    <x v="2"/>
    <x v="0"/>
    <s v="Sony"/>
    <n v="3"/>
    <n v="349"/>
    <n v="0"/>
    <n v="0"/>
    <n v="0"/>
    <n v="1047"/>
    <n v="209.4"/>
    <s v="Visa"/>
    <s v="Delivered"/>
    <n v="1"/>
  </r>
  <r>
    <s v="ORD-0132"/>
    <s v="2024-08-15"/>
    <x v="111"/>
    <s v="C003"/>
    <x v="8"/>
    <s v="Chicago"/>
    <x v="0"/>
    <s v="P012"/>
    <x v="5"/>
    <x v="4"/>
    <s v="Chanel"/>
    <n v="3"/>
    <n v="320"/>
    <n v="0"/>
    <n v="0"/>
    <n v="0"/>
    <n v="960"/>
    <n v="192"/>
    <s v="Visa"/>
    <s v="Delivered"/>
    <n v="3"/>
  </r>
  <r>
    <s v="ORD-0133"/>
    <s v="2024-07-02"/>
    <x v="112"/>
    <s v="C006"/>
    <x v="9"/>
    <s v="Philadelphia"/>
    <x v="0"/>
    <s v="P007"/>
    <x v="1"/>
    <x v="1"/>
    <s v="Nike"/>
    <n v="2"/>
    <n v="150"/>
    <n v="0"/>
    <n v="0"/>
    <n v="15"/>
    <n v="315"/>
    <n v="60"/>
    <s v="Mastercard"/>
    <s v="Delivered"/>
    <n v="2"/>
  </r>
  <r>
    <s v="ORD-0134"/>
    <s v="2024-03-30"/>
    <x v="113"/>
    <s v="C002"/>
    <x v="0"/>
    <s v="Los Angeles"/>
    <x v="0"/>
    <s v="P010"/>
    <x v="13"/>
    <x v="7"/>
    <s v="Wiley"/>
    <n v="4"/>
    <n v="28"/>
    <n v="10"/>
    <n v="11.2"/>
    <n v="0"/>
    <n v="100.8"/>
    <n v="20.16"/>
    <s v="Cash on Delivery"/>
    <s v="Delivered"/>
    <n v="2"/>
  </r>
  <r>
    <s v="ORD-0135"/>
    <s v="2024-04-28"/>
    <x v="114"/>
    <s v="C008"/>
    <x v="7"/>
    <s v="San Diego"/>
    <x v="0"/>
    <s v="P011"/>
    <x v="8"/>
    <x v="6"/>
    <s v="Casio"/>
    <n v="3"/>
    <n v="120"/>
    <n v="5"/>
    <n v="18"/>
    <n v="5"/>
    <n v="347"/>
    <n v="68.400000000000006"/>
    <s v="Apple Pay"/>
    <s v="Shipped"/>
    <m/>
  </r>
  <r>
    <s v="ORD-0136"/>
    <s v="2024-05-27"/>
    <x v="115"/>
    <s v="C009"/>
    <x v="2"/>
    <s v="Dallas"/>
    <x v="0"/>
    <s v="P003"/>
    <x v="10"/>
    <x v="0"/>
    <s v="Dell"/>
    <n v="1"/>
    <n v="1299"/>
    <n v="5"/>
    <n v="64.95"/>
    <n v="5"/>
    <n v="1239.05"/>
    <n v="246.81"/>
    <s v="PayPal"/>
    <s v="Returned"/>
    <m/>
  </r>
  <r>
    <s v="ORD-0137"/>
    <s v="2024-11-23"/>
    <x v="0"/>
    <s v="C007"/>
    <x v="3"/>
    <s v="San Antonio"/>
    <x v="0"/>
    <s v="P012"/>
    <x v="5"/>
    <x v="4"/>
    <s v="Chanel"/>
    <n v="3"/>
    <n v="320"/>
    <n v="5"/>
    <n v="48"/>
    <n v="5"/>
    <n v="917"/>
    <n v="182.4"/>
    <s v="Apple Pay"/>
    <s v="Delivered"/>
    <n v="4"/>
  </r>
  <r>
    <s v="ORD-0138"/>
    <s v="2024-02-24"/>
    <x v="116"/>
    <s v="C004"/>
    <x v="4"/>
    <s v="Houston"/>
    <x v="0"/>
    <s v="P007"/>
    <x v="1"/>
    <x v="1"/>
    <s v="Nike"/>
    <n v="5"/>
    <n v="150"/>
    <n v="0"/>
    <n v="0"/>
    <n v="15"/>
    <n v="765"/>
    <n v="150"/>
    <s v="PayPal"/>
    <s v="Delivered"/>
    <n v="1"/>
  </r>
  <r>
    <s v="ORD-0139"/>
    <s v="2024-12-03"/>
    <x v="117"/>
    <s v="C007"/>
    <x v="3"/>
    <s v="San Antonio"/>
    <x v="0"/>
    <s v="P005"/>
    <x v="6"/>
    <x v="2"/>
    <s v="H&amp;M"/>
    <n v="1"/>
    <n v="29"/>
    <n v="10"/>
    <n v="2.9"/>
    <n v="0"/>
    <n v="26.1"/>
    <n v="5.2200000000000006"/>
    <s v="Apple Pay"/>
    <s v="Cancelled"/>
    <m/>
  </r>
  <r>
    <s v="ORD-0140"/>
    <s v="2024-05-26"/>
    <x v="118"/>
    <s v="C004"/>
    <x v="4"/>
    <s v="Houston"/>
    <x v="0"/>
    <s v="P010"/>
    <x v="13"/>
    <x v="7"/>
    <s v="Wiley"/>
    <n v="3"/>
    <n v="28"/>
    <n v="0"/>
    <n v="0"/>
    <n v="0"/>
    <n v="84"/>
    <n v="16.8"/>
    <s v="Mastercard"/>
    <s v="Delivered"/>
    <n v="1"/>
  </r>
  <r>
    <s v="ORD-0141"/>
    <s v="2024-11-17"/>
    <x v="119"/>
    <s v="C001"/>
    <x v="6"/>
    <s v="New York"/>
    <x v="0"/>
    <s v="P005"/>
    <x v="6"/>
    <x v="2"/>
    <s v="H&amp;M"/>
    <n v="4"/>
    <n v="29"/>
    <n v="0"/>
    <n v="0"/>
    <n v="15"/>
    <n v="131"/>
    <n v="23.200000000000003"/>
    <s v="Mastercard"/>
    <s v="Delivered"/>
    <n v="1"/>
  </r>
  <r>
    <s v="ORD-0142"/>
    <s v="2024-05-31"/>
    <x v="120"/>
    <s v="C006"/>
    <x v="9"/>
    <s v="Philadelphia"/>
    <x v="0"/>
    <s v="P012"/>
    <x v="5"/>
    <x v="4"/>
    <s v="Chanel"/>
    <n v="4"/>
    <n v="320"/>
    <n v="0"/>
    <n v="0"/>
    <n v="0"/>
    <n v="1280"/>
    <n v="256"/>
    <s v="Cash on Delivery"/>
    <s v="Delivered"/>
    <n v="3"/>
  </r>
  <r>
    <s v="ORD-0143"/>
    <s v="2024-09-28"/>
    <x v="121"/>
    <s v="C009"/>
    <x v="2"/>
    <s v="Dallas"/>
    <x v="0"/>
    <s v="P015"/>
    <x v="4"/>
    <x v="3"/>
    <s v="Samsung"/>
    <n v="3"/>
    <n v="1200"/>
    <n v="20"/>
    <n v="720"/>
    <n v="0"/>
    <n v="2880"/>
    <n v="576"/>
    <s v="Apple Pay"/>
    <s v="Delivered"/>
    <n v="3"/>
  </r>
  <r>
    <s v="ORD-0144"/>
    <s v="2024-06-22"/>
    <x v="122"/>
    <s v="C002"/>
    <x v="0"/>
    <s v="Los Angeles"/>
    <x v="0"/>
    <s v="P008"/>
    <x v="11"/>
    <x v="1"/>
    <s v="Adidas"/>
    <n v="1"/>
    <n v="180"/>
    <n v="0"/>
    <n v="0"/>
    <n v="0"/>
    <n v="180"/>
    <n v="36"/>
    <s v="Apple Pay"/>
    <s v="Processing"/>
    <m/>
  </r>
  <r>
    <s v="ORD-0145"/>
    <s v="2024-10-12"/>
    <x v="123"/>
    <s v="C006"/>
    <x v="9"/>
    <s v="Philadelphia"/>
    <x v="0"/>
    <s v="P002"/>
    <x v="12"/>
    <x v="0"/>
    <s v="Samsung"/>
    <n v="4"/>
    <n v="849"/>
    <n v="0"/>
    <n v="0"/>
    <n v="5"/>
    <n v="3401"/>
    <n v="679.2"/>
    <s v="Apple Pay"/>
    <s v="Delivered"/>
    <n v="3"/>
  </r>
  <r>
    <s v="ORD-0146"/>
    <s v="2024-12-10"/>
    <x v="58"/>
    <s v="C005"/>
    <x v="5"/>
    <s v="Phoenix"/>
    <x v="0"/>
    <s v="P010"/>
    <x v="13"/>
    <x v="7"/>
    <s v="Wiley"/>
    <n v="4"/>
    <n v="28"/>
    <n v="20"/>
    <n v="22.4"/>
    <n v="5"/>
    <n v="94.6"/>
    <n v="17.919999999999998"/>
    <s v="Mastercard"/>
    <s v="Delivered"/>
    <n v="4"/>
  </r>
  <r>
    <s v="ORD-0147"/>
    <s v="2024-01-13"/>
    <x v="124"/>
    <s v="C010"/>
    <x v="1"/>
    <s v="San Jose"/>
    <x v="0"/>
    <s v="P015"/>
    <x v="4"/>
    <x v="3"/>
    <s v="Samsung"/>
    <n v="5"/>
    <n v="1200"/>
    <n v="0"/>
    <n v="0"/>
    <n v="15"/>
    <n v="6015"/>
    <n v="1200"/>
    <s v="Visa"/>
    <s v="Delivered"/>
    <n v="4"/>
  </r>
  <r>
    <s v="ORD-0148"/>
    <s v="2024-12-24"/>
    <x v="125"/>
    <s v="C005"/>
    <x v="5"/>
    <s v="Phoenix"/>
    <x v="0"/>
    <s v="P011"/>
    <x v="8"/>
    <x v="6"/>
    <s v="Casio"/>
    <n v="4"/>
    <n v="120"/>
    <n v="0"/>
    <n v="0"/>
    <n v="0"/>
    <n v="480"/>
    <n v="96"/>
    <s v="Visa"/>
    <s v="Delivered"/>
    <n v="3"/>
  </r>
  <r>
    <s v="ORD-0149"/>
    <s v="2024-09-09"/>
    <x v="13"/>
    <s v="C002"/>
    <x v="0"/>
    <s v="Los Angeles"/>
    <x v="0"/>
    <s v="P002"/>
    <x v="12"/>
    <x v="0"/>
    <s v="Samsung"/>
    <n v="2"/>
    <n v="849"/>
    <n v="10"/>
    <n v="169.8"/>
    <n v="0"/>
    <n v="1528.2"/>
    <n v="305.64000000000004"/>
    <s v="PayPal"/>
    <s v="Delivered"/>
    <n v="5"/>
  </r>
  <r>
    <s v="ORD-0150"/>
    <s v="2024-08-02"/>
    <x v="34"/>
    <s v="C010"/>
    <x v="1"/>
    <s v="San Jose"/>
    <x v="0"/>
    <s v="P012"/>
    <x v="5"/>
    <x v="4"/>
    <s v="Chanel"/>
    <n v="2"/>
    <n v="320"/>
    <n v="5"/>
    <n v="32"/>
    <n v="0"/>
    <n v="608"/>
    <n v="121.60000000000001"/>
    <s v="Cash on Delivery"/>
    <s v="Processing"/>
    <m/>
  </r>
  <r>
    <s v="ORD-0151"/>
    <s v="2024-07-27"/>
    <x v="102"/>
    <s v="C005"/>
    <x v="5"/>
    <s v="Phoenix"/>
    <x v="0"/>
    <s v="P001"/>
    <x v="0"/>
    <x v="0"/>
    <s v="Apple"/>
    <n v="3"/>
    <n v="999"/>
    <n v="0"/>
    <n v="0"/>
    <n v="10"/>
    <n v="3007"/>
    <n v="599.4"/>
    <s v="Mastercard"/>
    <s v="Delivered"/>
    <n v="3"/>
  </r>
  <r>
    <s v="ORD-0152"/>
    <s v="2024-02-20"/>
    <x v="126"/>
    <s v="C006"/>
    <x v="9"/>
    <s v="Philadelphia"/>
    <x v="0"/>
    <s v="P009"/>
    <x v="9"/>
    <x v="7"/>
    <s v="O'Reilly"/>
    <n v="3"/>
    <n v="35"/>
    <n v="0"/>
    <n v="0"/>
    <n v="10"/>
    <n v="115"/>
    <n v="21"/>
    <s v="Visa"/>
    <s v="Delivered"/>
    <n v="4"/>
  </r>
  <r>
    <s v="ORD-0153"/>
    <s v="2024-02-16"/>
    <x v="127"/>
    <s v="C004"/>
    <x v="4"/>
    <s v="Houston"/>
    <x v="0"/>
    <s v="P011"/>
    <x v="8"/>
    <x v="6"/>
    <s v="Casio"/>
    <n v="5"/>
    <n v="120"/>
    <n v="0"/>
    <n v="0"/>
    <n v="0"/>
    <n v="600"/>
    <n v="120"/>
    <s v="Mastercard"/>
    <s v="Shipped"/>
    <m/>
  </r>
  <r>
    <s v="ORD-0154"/>
    <s v="2024-03-05"/>
    <x v="128"/>
    <s v="C010"/>
    <x v="1"/>
    <s v="San Jose"/>
    <x v="0"/>
    <s v="P004"/>
    <x v="2"/>
    <x v="0"/>
    <s v="Sony"/>
    <n v="1"/>
    <n v="349"/>
    <n v="20"/>
    <n v="69.8"/>
    <n v="15"/>
    <n v="294.2"/>
    <n v="55.84"/>
    <s v="Mastercard"/>
    <s v="Delivered"/>
    <n v="2"/>
  </r>
  <r>
    <s v="ORD-0155"/>
    <s v="2024-06-17"/>
    <x v="48"/>
    <s v="C003"/>
    <x v="8"/>
    <s v="Chicago"/>
    <x v="0"/>
    <s v="P013"/>
    <x v="7"/>
    <x v="5"/>
    <s v="Nivea"/>
    <n v="5"/>
    <n v="18"/>
    <n v="0"/>
    <n v="0"/>
    <n v="5"/>
    <n v="95"/>
    <n v="18"/>
    <s v="Mastercard"/>
    <s v="Processing"/>
    <m/>
  </r>
  <r>
    <s v="ORD-0156"/>
    <s v="2024-03-07"/>
    <x v="129"/>
    <s v="C009"/>
    <x v="2"/>
    <s v="Dallas"/>
    <x v="0"/>
    <s v="P005"/>
    <x v="6"/>
    <x v="2"/>
    <s v="H&amp;M"/>
    <n v="2"/>
    <n v="29"/>
    <n v="0"/>
    <n v="0"/>
    <n v="0"/>
    <n v="58"/>
    <n v="11.600000000000001"/>
    <s v="PayPal"/>
    <s v="Delivered"/>
    <n v="2"/>
  </r>
  <r>
    <s v="ORD-0157"/>
    <s v="2024-10-28"/>
    <x v="90"/>
    <s v="C006"/>
    <x v="9"/>
    <s v="Philadelphia"/>
    <x v="0"/>
    <s v="P001"/>
    <x v="0"/>
    <x v="0"/>
    <s v="Apple"/>
    <n v="2"/>
    <n v="999"/>
    <n v="0"/>
    <n v="0"/>
    <n v="0"/>
    <n v="1998"/>
    <n v="399.6"/>
    <s v="Apple Pay"/>
    <s v="Delivered"/>
    <n v="5"/>
  </r>
  <r>
    <s v="ORD-0158"/>
    <s v="2024-02-28"/>
    <x v="130"/>
    <s v="C002"/>
    <x v="0"/>
    <s v="Los Angeles"/>
    <x v="0"/>
    <s v="P008"/>
    <x v="11"/>
    <x v="1"/>
    <s v="Adidas"/>
    <n v="4"/>
    <n v="180"/>
    <n v="20"/>
    <n v="144"/>
    <n v="5"/>
    <n v="581"/>
    <n v="115.2"/>
    <s v="Visa"/>
    <s v="Delivered"/>
    <n v="4"/>
  </r>
  <r>
    <s v="ORD-0159"/>
    <s v="2024-09-14"/>
    <x v="131"/>
    <s v="C004"/>
    <x v="4"/>
    <s v="Houston"/>
    <x v="0"/>
    <s v="P010"/>
    <x v="13"/>
    <x v="7"/>
    <s v="Wiley"/>
    <n v="1"/>
    <n v="28"/>
    <n v="15"/>
    <n v="4.2"/>
    <n v="15"/>
    <n v="38.799999999999997"/>
    <n v="4.76"/>
    <s v="Visa"/>
    <s v="Delivered"/>
    <n v="1"/>
  </r>
  <r>
    <s v="ORD-0160"/>
    <s v="2024-09-02"/>
    <x v="132"/>
    <s v="C007"/>
    <x v="3"/>
    <s v="San Antonio"/>
    <x v="0"/>
    <s v="P007"/>
    <x v="1"/>
    <x v="1"/>
    <s v="Nike"/>
    <n v="1"/>
    <n v="150"/>
    <n v="5"/>
    <n v="7.5"/>
    <n v="10"/>
    <n v="152.5"/>
    <n v="28.5"/>
    <s v="Visa"/>
    <s v="Delivered"/>
    <n v="3"/>
  </r>
  <r>
    <s v="ORD-0161"/>
    <s v="2024-11-07"/>
    <x v="18"/>
    <s v="C003"/>
    <x v="8"/>
    <s v="Chicago"/>
    <x v="0"/>
    <s v="P002"/>
    <x v="12"/>
    <x v="0"/>
    <s v="Samsung"/>
    <n v="2"/>
    <n v="849"/>
    <n v="0"/>
    <n v="0"/>
    <n v="15"/>
    <n v="1713"/>
    <n v="339.6"/>
    <s v="Cash on Delivery"/>
    <s v="Delivered"/>
    <n v="3"/>
  </r>
  <r>
    <s v="ORD-0162"/>
    <s v="2024-07-14"/>
    <x v="133"/>
    <s v="C010"/>
    <x v="1"/>
    <s v="San Jose"/>
    <x v="0"/>
    <s v="P009"/>
    <x v="9"/>
    <x v="7"/>
    <s v="O'Reilly"/>
    <n v="3"/>
    <n v="35"/>
    <n v="5"/>
    <n v="5.25"/>
    <n v="15"/>
    <n v="114.75"/>
    <n v="19.950000000000003"/>
    <s v="Visa"/>
    <s v="Delivered"/>
    <n v="1"/>
  </r>
  <r>
    <s v="ORD-0163"/>
    <s v="2024-12-01"/>
    <x v="56"/>
    <s v="C009"/>
    <x v="2"/>
    <s v="Dallas"/>
    <x v="0"/>
    <s v="P012"/>
    <x v="5"/>
    <x v="4"/>
    <s v="Chanel"/>
    <n v="2"/>
    <n v="320"/>
    <n v="5"/>
    <n v="32"/>
    <n v="10"/>
    <n v="618"/>
    <n v="121.60000000000001"/>
    <s v="Apple Pay"/>
    <s v="Processing"/>
    <m/>
  </r>
  <r>
    <s v="ORD-0164"/>
    <s v="2024-06-22"/>
    <x v="122"/>
    <s v="C008"/>
    <x v="7"/>
    <s v="San Diego"/>
    <x v="0"/>
    <s v="P007"/>
    <x v="1"/>
    <x v="1"/>
    <s v="Nike"/>
    <n v="4"/>
    <n v="150"/>
    <n v="15"/>
    <n v="90"/>
    <n v="0"/>
    <n v="510"/>
    <n v="102"/>
    <s v="PayPal"/>
    <s v="Delivered"/>
    <n v="3"/>
  </r>
  <r>
    <s v="ORD-0165"/>
    <s v="2024-07-10"/>
    <x v="134"/>
    <s v="C003"/>
    <x v="8"/>
    <s v="Chicago"/>
    <x v="0"/>
    <s v="P011"/>
    <x v="8"/>
    <x v="6"/>
    <s v="Casio"/>
    <n v="4"/>
    <n v="120"/>
    <n v="0"/>
    <n v="0"/>
    <n v="0"/>
    <n v="480"/>
    <n v="96"/>
    <s v="Visa"/>
    <s v="Processing"/>
    <m/>
  </r>
  <r>
    <s v="ORD-0166"/>
    <s v="2024-08-09"/>
    <x v="135"/>
    <s v="C002"/>
    <x v="0"/>
    <s v="Los Angeles"/>
    <x v="0"/>
    <s v="P012"/>
    <x v="5"/>
    <x v="4"/>
    <s v="Chanel"/>
    <n v="3"/>
    <n v="320"/>
    <n v="20"/>
    <n v="192"/>
    <n v="0"/>
    <n v="768"/>
    <n v="153.60000000000002"/>
    <s v="Cash on Delivery"/>
    <s v="Delivered"/>
    <n v="5"/>
  </r>
  <r>
    <s v="ORD-0167"/>
    <s v="2024-10-14"/>
    <x v="136"/>
    <s v="C006"/>
    <x v="9"/>
    <s v="Philadelphia"/>
    <x v="0"/>
    <s v="P011"/>
    <x v="8"/>
    <x v="6"/>
    <s v="Casio"/>
    <n v="1"/>
    <n v="120"/>
    <n v="5"/>
    <n v="6"/>
    <n v="5"/>
    <n v="119"/>
    <n v="22.8"/>
    <s v="Apple Pay"/>
    <s v="Processing"/>
    <m/>
  </r>
  <r>
    <s v="ORD-0168"/>
    <s v="2024-01-27"/>
    <x v="101"/>
    <s v="C005"/>
    <x v="5"/>
    <s v="Phoenix"/>
    <x v="0"/>
    <s v="P010"/>
    <x v="13"/>
    <x v="7"/>
    <s v="Wiley"/>
    <n v="3"/>
    <n v="28"/>
    <n v="0"/>
    <n v="0"/>
    <n v="0"/>
    <n v="84"/>
    <n v="16.8"/>
    <s v="Mastercard"/>
    <s v="Delivered"/>
    <n v="2"/>
  </r>
  <r>
    <s v="ORD-0169"/>
    <s v="2024-12-02"/>
    <x v="137"/>
    <s v="C008"/>
    <x v="7"/>
    <s v="San Diego"/>
    <x v="0"/>
    <s v="P004"/>
    <x v="2"/>
    <x v="0"/>
    <s v="Sony"/>
    <n v="1"/>
    <n v="349"/>
    <n v="0"/>
    <n v="0"/>
    <n v="15"/>
    <n v="364"/>
    <n v="69.8"/>
    <s v="PayPal"/>
    <s v="Delivered"/>
    <n v="5"/>
  </r>
  <r>
    <s v="ORD-0170"/>
    <s v="2024-04-25"/>
    <x v="138"/>
    <s v="C007"/>
    <x v="3"/>
    <s v="San Antonio"/>
    <x v="0"/>
    <s v="P014"/>
    <x v="14"/>
    <x v="3"/>
    <s v="Carrier"/>
    <n v="5"/>
    <n v="750"/>
    <n v="20"/>
    <n v="750"/>
    <n v="15"/>
    <n v="3015"/>
    <n v="600"/>
    <s v="Cash on Delivery"/>
    <s v="Delivered"/>
    <n v="1"/>
  </r>
  <r>
    <s v="ORD-0171"/>
    <s v="2024-11-07"/>
    <x v="18"/>
    <s v="C005"/>
    <x v="5"/>
    <s v="Phoenix"/>
    <x v="0"/>
    <s v="P001"/>
    <x v="0"/>
    <x v="0"/>
    <s v="Apple"/>
    <n v="2"/>
    <n v="999"/>
    <n v="0"/>
    <n v="0"/>
    <n v="5"/>
    <n v="2003"/>
    <n v="399.6"/>
    <s v="PayPal"/>
    <s v="Cancelled"/>
    <m/>
  </r>
  <r>
    <s v="ORD-0172"/>
    <s v="2024-01-04"/>
    <x v="139"/>
    <s v="C003"/>
    <x v="8"/>
    <s v="Chicago"/>
    <x v="0"/>
    <s v="P014"/>
    <x v="14"/>
    <x v="3"/>
    <s v="Carrier"/>
    <n v="2"/>
    <n v="750"/>
    <n v="10"/>
    <n v="150"/>
    <n v="10"/>
    <n v="1360"/>
    <n v="270"/>
    <s v="Visa"/>
    <s v="Delivered"/>
    <n v="1"/>
  </r>
  <r>
    <s v="ORD-0173"/>
    <s v="2024-09-28"/>
    <x v="121"/>
    <s v="C004"/>
    <x v="4"/>
    <s v="Houston"/>
    <x v="0"/>
    <s v="P007"/>
    <x v="1"/>
    <x v="1"/>
    <s v="Nike"/>
    <n v="4"/>
    <n v="150"/>
    <n v="5"/>
    <n v="30"/>
    <n v="5"/>
    <n v="575"/>
    <n v="114"/>
    <s v="PayPal"/>
    <s v="Delivered"/>
    <n v="3"/>
  </r>
  <r>
    <s v="ORD-0174"/>
    <s v="2024-10-17"/>
    <x v="140"/>
    <s v="C010"/>
    <x v="1"/>
    <s v="San Jose"/>
    <x v="0"/>
    <s v="P002"/>
    <x v="12"/>
    <x v="0"/>
    <s v="Samsung"/>
    <n v="1"/>
    <n v="849"/>
    <n v="0"/>
    <n v="0"/>
    <n v="0"/>
    <n v="849"/>
    <n v="169.8"/>
    <s v="Visa"/>
    <s v="Shipped"/>
    <m/>
  </r>
  <r>
    <s v="ORD-0175"/>
    <s v="2024-12-11"/>
    <x v="141"/>
    <s v="C002"/>
    <x v="0"/>
    <s v="Los Angeles"/>
    <x v="0"/>
    <s v="P005"/>
    <x v="6"/>
    <x v="2"/>
    <s v="H&amp;M"/>
    <n v="4"/>
    <n v="29"/>
    <n v="15"/>
    <n v="17.399999999999999"/>
    <n v="10"/>
    <n v="108.6"/>
    <n v="19.72"/>
    <s v="Apple Pay"/>
    <s v="Delivered"/>
    <n v="4"/>
  </r>
  <r>
    <s v="ORD-0176"/>
    <s v="2024-05-19"/>
    <x v="63"/>
    <s v="C004"/>
    <x v="4"/>
    <s v="Houston"/>
    <x v="0"/>
    <s v="P013"/>
    <x v="7"/>
    <x v="5"/>
    <s v="Nivea"/>
    <n v="5"/>
    <n v="18"/>
    <n v="0"/>
    <n v="0"/>
    <n v="5"/>
    <n v="95"/>
    <n v="18"/>
    <s v="PayPal"/>
    <s v="Delivered"/>
    <n v="5"/>
  </r>
  <r>
    <s v="ORD-0177"/>
    <s v="2024-09-06"/>
    <x v="82"/>
    <s v="C009"/>
    <x v="2"/>
    <s v="Dallas"/>
    <x v="0"/>
    <s v="P011"/>
    <x v="8"/>
    <x v="6"/>
    <s v="Casio"/>
    <n v="3"/>
    <n v="120"/>
    <n v="0"/>
    <n v="0"/>
    <n v="0"/>
    <n v="360"/>
    <n v="72"/>
    <s v="Cash on Delivery"/>
    <s v="Delivered"/>
    <n v="1"/>
  </r>
  <r>
    <s v="ORD-0178"/>
    <s v="2024-01-04"/>
    <x v="139"/>
    <s v="C004"/>
    <x v="4"/>
    <s v="Houston"/>
    <x v="0"/>
    <s v="P005"/>
    <x v="6"/>
    <x v="2"/>
    <s v="H&amp;M"/>
    <n v="2"/>
    <n v="29"/>
    <n v="20"/>
    <n v="11.6"/>
    <n v="0"/>
    <n v="46.4"/>
    <n v="9.2799999999999994"/>
    <s v="PayPal"/>
    <s v="Shipped"/>
    <m/>
  </r>
  <r>
    <s v="ORD-0179"/>
    <s v="2024-06-16"/>
    <x v="142"/>
    <s v="C002"/>
    <x v="0"/>
    <s v="Los Angeles"/>
    <x v="0"/>
    <s v="P001"/>
    <x v="0"/>
    <x v="0"/>
    <s v="Apple"/>
    <n v="4"/>
    <n v="999"/>
    <n v="15"/>
    <n v="599.4"/>
    <n v="10"/>
    <n v="3406.6"/>
    <n v="679.32"/>
    <s v="Apple Pay"/>
    <s v="Delivered"/>
    <n v="5"/>
  </r>
  <r>
    <s v="ORD-0180"/>
    <s v="2024-12-26"/>
    <x v="38"/>
    <s v="C004"/>
    <x v="4"/>
    <s v="Houston"/>
    <x v="0"/>
    <s v="P009"/>
    <x v="9"/>
    <x v="7"/>
    <s v="O'Reilly"/>
    <n v="5"/>
    <n v="35"/>
    <n v="20"/>
    <n v="35"/>
    <n v="5"/>
    <n v="145"/>
    <n v="28"/>
    <s v="Visa"/>
    <s v="Delivered"/>
    <n v="4"/>
  </r>
  <r>
    <s v="ORD-0181"/>
    <s v="2024-01-10"/>
    <x v="71"/>
    <s v="C008"/>
    <x v="7"/>
    <s v="San Diego"/>
    <x v="0"/>
    <s v="P015"/>
    <x v="4"/>
    <x v="3"/>
    <s v="Samsung"/>
    <n v="1"/>
    <n v="1200"/>
    <n v="20"/>
    <n v="240"/>
    <n v="5"/>
    <n v="965"/>
    <n v="192"/>
    <s v="Cash on Delivery"/>
    <s v="Delivered"/>
    <n v="4"/>
  </r>
  <r>
    <s v="ORD-0182"/>
    <s v="2024-12-29"/>
    <x v="143"/>
    <s v="C007"/>
    <x v="3"/>
    <s v="San Antonio"/>
    <x v="0"/>
    <s v="P005"/>
    <x v="6"/>
    <x v="2"/>
    <s v="H&amp;M"/>
    <n v="1"/>
    <n v="29"/>
    <n v="5"/>
    <n v="1.45"/>
    <n v="0"/>
    <n v="27.55"/>
    <n v="5.5100000000000007"/>
    <s v="Mastercard"/>
    <s v="Cancelled"/>
    <m/>
  </r>
  <r>
    <s v="ORD-0183"/>
    <s v="2024-11-12"/>
    <x v="110"/>
    <s v="C008"/>
    <x v="7"/>
    <s v="San Diego"/>
    <x v="0"/>
    <s v="P014"/>
    <x v="14"/>
    <x v="3"/>
    <s v="Carrier"/>
    <n v="3"/>
    <n v="750"/>
    <n v="0"/>
    <n v="0"/>
    <n v="10"/>
    <n v="2260"/>
    <n v="450"/>
    <s v="Mastercard"/>
    <s v="Processing"/>
    <m/>
  </r>
  <r>
    <s v="ORD-0184"/>
    <s v="2024-08-11"/>
    <x v="144"/>
    <s v="C010"/>
    <x v="1"/>
    <s v="San Jose"/>
    <x v="0"/>
    <s v="P007"/>
    <x v="1"/>
    <x v="1"/>
    <s v="Nike"/>
    <n v="5"/>
    <n v="150"/>
    <n v="0"/>
    <n v="0"/>
    <n v="10"/>
    <n v="760"/>
    <n v="150"/>
    <s v="PayPal"/>
    <s v="Processing"/>
    <m/>
  </r>
  <r>
    <s v="ORD-0185"/>
    <s v="2024-04-23"/>
    <x v="145"/>
    <s v="C006"/>
    <x v="9"/>
    <s v="Philadelphia"/>
    <x v="0"/>
    <s v="P013"/>
    <x v="7"/>
    <x v="5"/>
    <s v="Nivea"/>
    <n v="2"/>
    <n v="18"/>
    <n v="0"/>
    <n v="0"/>
    <n v="15"/>
    <n v="51"/>
    <n v="7.2"/>
    <s v="Cash on Delivery"/>
    <s v="Delivered"/>
    <n v="5"/>
  </r>
  <r>
    <s v="ORD-0186"/>
    <s v="2024-04-09"/>
    <x v="146"/>
    <s v="C006"/>
    <x v="9"/>
    <s v="Philadelphia"/>
    <x v="0"/>
    <s v="P006"/>
    <x v="3"/>
    <x v="2"/>
    <s v="Levi's"/>
    <n v="2"/>
    <n v="79"/>
    <n v="0"/>
    <n v="0"/>
    <n v="0"/>
    <n v="158"/>
    <n v="31.6"/>
    <s v="Mastercard"/>
    <s v="Delivered"/>
    <n v="2"/>
  </r>
  <r>
    <s v="ORD-0187"/>
    <s v="2024-11-04"/>
    <x v="147"/>
    <s v="C003"/>
    <x v="8"/>
    <s v="Chicago"/>
    <x v="0"/>
    <s v="P013"/>
    <x v="7"/>
    <x v="5"/>
    <s v="Nivea"/>
    <n v="1"/>
    <n v="18"/>
    <n v="0"/>
    <n v="0"/>
    <n v="10"/>
    <n v="28"/>
    <n v="3.6"/>
    <s v="Cash on Delivery"/>
    <s v="Delivered"/>
    <n v="5"/>
  </r>
  <r>
    <s v="ORD-0188"/>
    <s v="2024-08-17"/>
    <x v="26"/>
    <s v="C010"/>
    <x v="1"/>
    <s v="San Jose"/>
    <x v="0"/>
    <s v="P011"/>
    <x v="8"/>
    <x v="6"/>
    <s v="Casio"/>
    <n v="5"/>
    <n v="120"/>
    <n v="0"/>
    <n v="0"/>
    <n v="5"/>
    <n v="605"/>
    <n v="120"/>
    <s v="Visa"/>
    <s v="Delivered"/>
    <n v="4"/>
  </r>
  <r>
    <s v="ORD-0189"/>
    <s v="2024-08-14"/>
    <x v="148"/>
    <s v="C005"/>
    <x v="5"/>
    <s v="Phoenix"/>
    <x v="0"/>
    <s v="P013"/>
    <x v="7"/>
    <x v="5"/>
    <s v="Nivea"/>
    <n v="3"/>
    <n v="18"/>
    <n v="10"/>
    <n v="5.4"/>
    <n v="0"/>
    <n v="48.6"/>
    <n v="9.7200000000000006"/>
    <s v="Visa"/>
    <s v="Delivered"/>
    <n v="3"/>
  </r>
  <r>
    <s v="ORD-0190"/>
    <s v="2024-08-24"/>
    <x v="9"/>
    <s v="C008"/>
    <x v="7"/>
    <s v="San Diego"/>
    <x v="0"/>
    <s v="P001"/>
    <x v="0"/>
    <x v="0"/>
    <s v="Apple"/>
    <n v="1"/>
    <n v="999"/>
    <n v="0"/>
    <n v="0"/>
    <n v="5"/>
    <n v="1004"/>
    <n v="199.8"/>
    <s v="Visa"/>
    <s v="Delivered"/>
    <n v="5"/>
  </r>
  <r>
    <s v="ORD-0191"/>
    <s v="2024-10-31"/>
    <x v="149"/>
    <s v="C009"/>
    <x v="2"/>
    <s v="Dallas"/>
    <x v="0"/>
    <s v="P007"/>
    <x v="1"/>
    <x v="1"/>
    <s v="Nike"/>
    <n v="4"/>
    <n v="150"/>
    <n v="10"/>
    <n v="60"/>
    <n v="15"/>
    <n v="555"/>
    <n v="108"/>
    <s v="Visa"/>
    <s v="Cancelled"/>
    <m/>
  </r>
  <r>
    <s v="ORD-0192"/>
    <s v="2024-08-18"/>
    <x v="150"/>
    <s v="C010"/>
    <x v="1"/>
    <s v="San Jose"/>
    <x v="0"/>
    <s v="P011"/>
    <x v="8"/>
    <x v="6"/>
    <s v="Casio"/>
    <n v="2"/>
    <n v="120"/>
    <n v="0"/>
    <n v="0"/>
    <n v="15"/>
    <n v="255"/>
    <n v="48"/>
    <s v="Mastercard"/>
    <s v="Delivered"/>
    <n v="1"/>
  </r>
  <r>
    <s v="ORD-0193"/>
    <s v="2024-08-18"/>
    <x v="150"/>
    <s v="C002"/>
    <x v="0"/>
    <s v="Los Angeles"/>
    <x v="0"/>
    <s v="P013"/>
    <x v="7"/>
    <x v="5"/>
    <s v="Nivea"/>
    <n v="3"/>
    <n v="18"/>
    <n v="15"/>
    <n v="8.1"/>
    <n v="0"/>
    <n v="45.9"/>
    <n v="9.18"/>
    <s v="Mastercard"/>
    <s v="Delivered"/>
    <n v="1"/>
  </r>
  <r>
    <s v="ORD-0194"/>
    <s v="2024-05-06"/>
    <x v="151"/>
    <s v="C008"/>
    <x v="7"/>
    <s v="San Diego"/>
    <x v="0"/>
    <s v="P008"/>
    <x v="11"/>
    <x v="1"/>
    <s v="Adidas"/>
    <n v="5"/>
    <n v="180"/>
    <n v="10"/>
    <n v="90"/>
    <n v="15"/>
    <n v="825"/>
    <n v="162"/>
    <s v="PayPal"/>
    <s v="Delivered"/>
    <n v="3"/>
  </r>
  <r>
    <s v="ORD-0195"/>
    <s v="2024-07-17"/>
    <x v="152"/>
    <s v="C007"/>
    <x v="3"/>
    <s v="San Antonio"/>
    <x v="0"/>
    <s v="P013"/>
    <x v="7"/>
    <x v="5"/>
    <s v="Nivea"/>
    <n v="3"/>
    <n v="18"/>
    <n v="15"/>
    <n v="8.1"/>
    <n v="15"/>
    <n v="60.9"/>
    <n v="9.18"/>
    <s v="PayPal"/>
    <s v="Delivered"/>
    <n v="1"/>
  </r>
  <r>
    <s v="ORD-0196"/>
    <s v="2024-06-17"/>
    <x v="48"/>
    <s v="C002"/>
    <x v="0"/>
    <s v="Los Angeles"/>
    <x v="0"/>
    <s v="P009"/>
    <x v="9"/>
    <x v="7"/>
    <s v="O'Reilly"/>
    <n v="4"/>
    <n v="35"/>
    <n v="0"/>
    <n v="0"/>
    <n v="5"/>
    <n v="145"/>
    <n v="28"/>
    <s v="Cash on Delivery"/>
    <s v="Shipped"/>
    <m/>
  </r>
  <r>
    <s v="ORD-0197"/>
    <s v="2024-03-17"/>
    <x v="89"/>
    <s v="C006"/>
    <x v="9"/>
    <s v="Philadelphia"/>
    <x v="0"/>
    <s v="P002"/>
    <x v="12"/>
    <x v="0"/>
    <s v="Samsung"/>
    <n v="5"/>
    <n v="849"/>
    <n v="15"/>
    <n v="636.75"/>
    <n v="0"/>
    <n v="3608.25"/>
    <n v="721.65000000000009"/>
    <s v="PayPal"/>
    <s v="Cancelled"/>
    <m/>
  </r>
  <r>
    <s v="ORD-0198"/>
    <s v="2024-12-01"/>
    <x v="56"/>
    <s v="C007"/>
    <x v="3"/>
    <s v="San Antonio"/>
    <x v="0"/>
    <s v="P003"/>
    <x v="10"/>
    <x v="0"/>
    <s v="Dell"/>
    <n v="5"/>
    <n v="1299"/>
    <n v="15"/>
    <n v="974.25"/>
    <n v="0"/>
    <n v="5520.75"/>
    <n v="1104.1500000000001"/>
    <s v="Apple Pay"/>
    <s v="Delivered"/>
    <n v="3"/>
  </r>
  <r>
    <s v="ORD-0199"/>
    <s v="2024-03-06"/>
    <x v="54"/>
    <s v="C009"/>
    <x v="2"/>
    <s v="Dallas"/>
    <x v="0"/>
    <s v="P002"/>
    <x v="12"/>
    <x v="0"/>
    <s v="Samsung"/>
    <n v="4"/>
    <n v="849"/>
    <n v="10"/>
    <n v="339.6"/>
    <n v="5"/>
    <n v="3061.4"/>
    <n v="611.28000000000009"/>
    <s v="PayPal"/>
    <s v="Delivered"/>
    <n v="2"/>
  </r>
  <r>
    <s v="ORD-0200"/>
    <s v="2024-04-19"/>
    <x v="153"/>
    <s v="C006"/>
    <x v="9"/>
    <s v="Philadelphia"/>
    <x v="0"/>
    <s v="P013"/>
    <x v="7"/>
    <x v="5"/>
    <s v="Nivea"/>
    <n v="4"/>
    <n v="18"/>
    <n v="0"/>
    <n v="0"/>
    <n v="0"/>
    <n v="72"/>
    <n v="14.4"/>
    <s v="Mastercard"/>
    <s v="Return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1:K12" firstHeaderRow="1" firstDataRow="1" firstDataCol="1"/>
  <pivotFields count="22">
    <pivotField showAll="0"/>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11">
        <item x="7"/>
        <item x="3"/>
        <item x="5"/>
        <item x="0"/>
        <item x="6"/>
        <item x="9"/>
        <item x="1"/>
        <item x="8"/>
        <item x="2"/>
        <item x="4"/>
        <item t="default"/>
      </items>
    </pivotField>
    <pivotField showAll="0"/>
    <pivotField showAll="0"/>
    <pivotField showAll="0"/>
    <pivotField showAll="0">
      <items count="16">
        <item x="11"/>
        <item x="14"/>
        <item x="8"/>
        <item x="5"/>
        <item x="6"/>
        <item x="10"/>
        <item x="13"/>
        <item x="0"/>
        <item x="1"/>
        <item x="7"/>
        <item x="9"/>
        <item x="4"/>
        <item x="12"/>
        <item x="3"/>
        <item x="2"/>
        <item t="default"/>
      </items>
    </pivotField>
    <pivotField showAll="0">
      <items count="9">
        <item x="5"/>
        <item x="7"/>
        <item x="2"/>
        <item x="0"/>
        <item x="3"/>
        <item x="4"/>
        <item x="1"/>
        <item x="6"/>
        <item t="default"/>
      </items>
    </pivotField>
    <pivotField showAll="0"/>
    <pivotField showAll="0"/>
    <pivotField numFmtId="164" showAll="0"/>
    <pivotField numFmtId="165" showAll="0"/>
    <pivotField numFmtId="167" showAll="0"/>
    <pivotField numFmtId="167" showAll="0"/>
    <pivotField dataField="1" numFmtId="167" showAll="0"/>
    <pivotField numFmtId="167"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Items count="1">
    <i/>
  </colItems>
  <dataFields count="1">
    <dataField name="Sum of Total ($)" fld="16" baseField="0" baseItem="0" numFmtId="167"/>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5"/>
          </reference>
        </references>
      </pivotArea>
    </chartFormat>
    <chartFormat chart="0" format="6">
      <pivotArea type="data" outline="0" fieldPosition="0">
        <references count="2">
          <reference field="4294967294" count="1" selected="0">
            <x v="0"/>
          </reference>
          <reference field="4" count="1" selected="0">
            <x v="6"/>
          </reference>
        </references>
      </pivotArea>
    </chartFormat>
    <chartFormat chart="0" format="7">
      <pivotArea type="data" outline="0" fieldPosition="0">
        <references count="2">
          <reference field="4294967294" count="1" selected="0">
            <x v="0"/>
          </reference>
          <reference field="4" count="1" selected="0">
            <x v="8"/>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9"/>
          </reference>
        </references>
      </pivotArea>
    </chartFormat>
    <chartFormat chart="0" format="10">
      <pivotArea type="data" outline="0" fieldPosition="0">
        <references count="2">
          <reference field="4294967294" count="1" selected="0">
            <x v="0"/>
          </reference>
          <reference field="4" count="1" selected="0">
            <x v="0"/>
          </reference>
        </references>
      </pivotArea>
    </chartFormat>
    <chartFormat chart="3" format="33" series="1">
      <pivotArea type="data" outline="0" fieldPosition="0">
        <references count="1">
          <reference field="4294967294" count="1" selected="0">
            <x v="0"/>
          </reference>
        </references>
      </pivotArea>
    </chartFormat>
    <chartFormat chart="3" format="34">
      <pivotArea type="data" outline="0" fieldPosition="0">
        <references count="2">
          <reference field="4294967294" count="1" selected="0">
            <x v="0"/>
          </reference>
          <reference field="4" count="1" selected="0">
            <x v="1"/>
          </reference>
        </references>
      </pivotArea>
    </chartFormat>
    <chartFormat chart="3" format="35">
      <pivotArea type="data" outline="0" fieldPosition="0">
        <references count="2">
          <reference field="4294967294" count="1" selected="0">
            <x v="0"/>
          </reference>
          <reference field="4" count="1" selected="0">
            <x v="2"/>
          </reference>
        </references>
      </pivotArea>
    </chartFormat>
    <chartFormat chart="3" format="36">
      <pivotArea type="data" outline="0" fieldPosition="0">
        <references count="2">
          <reference field="4294967294" count="1" selected="0">
            <x v="0"/>
          </reference>
          <reference field="4" count="1" selected="0">
            <x v="3"/>
          </reference>
        </references>
      </pivotArea>
    </chartFormat>
    <chartFormat chart="3" format="37">
      <pivotArea type="data" outline="0" fieldPosition="0">
        <references count="2">
          <reference field="4294967294" count="1" selected="0">
            <x v="0"/>
          </reference>
          <reference field="4" count="1" selected="0">
            <x v="4"/>
          </reference>
        </references>
      </pivotArea>
    </chartFormat>
    <chartFormat chart="3" format="38">
      <pivotArea type="data" outline="0" fieldPosition="0">
        <references count="2">
          <reference field="4294967294" count="1" selected="0">
            <x v="0"/>
          </reference>
          <reference field="4" count="1" selected="0">
            <x v="5"/>
          </reference>
        </references>
      </pivotArea>
    </chartFormat>
    <chartFormat chart="3" format="39">
      <pivotArea type="data" outline="0" fieldPosition="0">
        <references count="2">
          <reference field="4294967294" count="1" selected="0">
            <x v="0"/>
          </reference>
          <reference field="4" count="1" selected="0">
            <x v="6"/>
          </reference>
        </references>
      </pivotArea>
    </chartFormat>
    <chartFormat chart="3" format="40">
      <pivotArea type="data" outline="0" fieldPosition="0">
        <references count="2">
          <reference field="4294967294" count="1" selected="0">
            <x v="0"/>
          </reference>
          <reference field="4" count="1" selected="0">
            <x v="7"/>
          </reference>
        </references>
      </pivotArea>
    </chartFormat>
    <chartFormat chart="3" format="41">
      <pivotArea type="data" outline="0" fieldPosition="0">
        <references count="2">
          <reference field="4294967294" count="1" selected="0">
            <x v="0"/>
          </reference>
          <reference field="4" count="1" selected="0">
            <x v="8"/>
          </reference>
        </references>
      </pivotArea>
    </chartFormat>
    <chartFormat chart="3" format="42">
      <pivotArea type="data" outline="0" fieldPosition="0">
        <references count="2">
          <reference field="4294967294" count="1" selected="0">
            <x v="0"/>
          </reference>
          <reference field="4" count="1" selected="0">
            <x v="9"/>
          </reference>
        </references>
      </pivotArea>
    </chartFormat>
    <chartFormat chart="3" format="4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1:H10" firstHeaderRow="1" firstDataRow="1" firstDataCol="1"/>
  <pivotFields count="22">
    <pivotField showAll="0"/>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6">
        <item x="11"/>
        <item x="14"/>
        <item x="8"/>
        <item x="5"/>
        <item x="6"/>
        <item x="10"/>
        <item x="13"/>
        <item x="0"/>
        <item x="1"/>
        <item x="7"/>
        <item x="9"/>
        <item x="4"/>
        <item x="12"/>
        <item x="3"/>
        <item x="2"/>
        <item t="default"/>
      </items>
    </pivotField>
    <pivotField axis="axisRow" showAll="0">
      <items count="9">
        <item x="5"/>
        <item x="7"/>
        <item x="2"/>
        <item x="0"/>
        <item x="3"/>
        <item x="4"/>
        <item x="1"/>
        <item x="6"/>
        <item t="default"/>
      </items>
    </pivotField>
    <pivotField showAll="0"/>
    <pivotField showAll="0"/>
    <pivotField numFmtId="164" showAll="0"/>
    <pivotField numFmtId="165" showAll="0"/>
    <pivotField numFmtId="167" showAll="0"/>
    <pivotField numFmtId="167" showAll="0"/>
    <pivotField dataField="1" numFmtId="167" showAll="0"/>
    <pivotField numFmtId="167"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9"/>
  </rowFields>
  <rowItems count="9">
    <i>
      <x/>
    </i>
    <i>
      <x v="1"/>
    </i>
    <i>
      <x v="2"/>
    </i>
    <i>
      <x v="3"/>
    </i>
    <i>
      <x v="4"/>
    </i>
    <i>
      <x v="5"/>
    </i>
    <i>
      <x v="6"/>
    </i>
    <i>
      <x v="7"/>
    </i>
    <i t="grand">
      <x/>
    </i>
  </rowItems>
  <colItems count="1">
    <i/>
  </colItems>
  <dataFields count="1">
    <dataField name="Sum of Total ($)" fld="16" baseField="0" baseItem="0" numFmtId="167"/>
  </dataFields>
  <formats count="1">
    <format dxfId="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E17" firstHeaderRow="1" firstDataRow="1" firstDataCol="1"/>
  <pivotFields count="22">
    <pivotField showAll="0"/>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axis="axisRow" showAll="0">
      <items count="16">
        <item x="11"/>
        <item x="14"/>
        <item x="8"/>
        <item x="5"/>
        <item x="6"/>
        <item x="10"/>
        <item x="13"/>
        <item x="0"/>
        <item x="1"/>
        <item x="7"/>
        <item x="9"/>
        <item x="4"/>
        <item x="12"/>
        <item x="3"/>
        <item x="2"/>
        <item t="default"/>
      </items>
    </pivotField>
    <pivotField showAll="0">
      <items count="9">
        <item x="5"/>
        <item x="7"/>
        <item x="2"/>
        <item x="0"/>
        <item x="3"/>
        <item x="4"/>
        <item x="1"/>
        <item x="6"/>
        <item t="default"/>
      </items>
    </pivotField>
    <pivotField showAll="0"/>
    <pivotField showAll="0"/>
    <pivotField numFmtId="164" showAll="0"/>
    <pivotField numFmtId="165" showAll="0"/>
    <pivotField numFmtId="167" showAll="0"/>
    <pivotField numFmtId="167" showAll="0"/>
    <pivotField numFmtId="167" showAll="0"/>
    <pivotField dataField="1" numFmtId="167"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Sum of Profit ($)" fld="17" baseField="0" baseItem="0" numFmtId="167"/>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14" firstHeaderRow="1" firstDataRow="1" firstDataCol="1"/>
  <pivotFields count="22">
    <pivotField showAll="0"/>
    <pivotField showAll="0"/>
    <pivotField axis="axisRow"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1">
        <item x="7"/>
        <item x="3"/>
        <item x="5"/>
        <item x="0"/>
        <item x="6"/>
        <item x="9"/>
        <item x="1"/>
        <item x="8"/>
        <item x="2"/>
        <item x="4"/>
        <item t="default"/>
      </items>
    </pivotField>
    <pivotField showAll="0"/>
    <pivotField showAll="0">
      <items count="2">
        <item x="0"/>
        <item t="default"/>
      </items>
    </pivotField>
    <pivotField showAll="0"/>
    <pivotField showAll="0">
      <items count="16">
        <item x="11"/>
        <item x="14"/>
        <item x="8"/>
        <item x="5"/>
        <item x="6"/>
        <item x="10"/>
        <item x="13"/>
        <item x="0"/>
        <item x="1"/>
        <item x="7"/>
        <item x="9"/>
        <item x="4"/>
        <item x="12"/>
        <item x="3"/>
        <item x="2"/>
        <item t="default"/>
      </items>
    </pivotField>
    <pivotField showAll="0">
      <items count="9">
        <item x="5"/>
        <item x="7"/>
        <item x="2"/>
        <item x="0"/>
        <item x="3"/>
        <item x="4"/>
        <item x="1"/>
        <item x="6"/>
        <item t="default"/>
      </items>
    </pivotField>
    <pivotField showAll="0"/>
    <pivotField showAll="0"/>
    <pivotField numFmtId="164" showAll="0"/>
    <pivotField numFmtId="165" showAll="0"/>
    <pivotField numFmtId="167" showAll="0"/>
    <pivotField numFmtId="167" showAll="0"/>
    <pivotField dataField="1" numFmtId="167" showAll="0"/>
    <pivotField numFmtId="167"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Total ($)" fld="16" baseField="0" baseItem="0" numFmtId="167"/>
  </dataFields>
  <formats count="1">
    <format dxfId="2">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1" count="1" selected="0">
            <x v="4"/>
          </reference>
        </references>
      </pivotArea>
    </chartFormat>
    <chartFormat chart="3" format="4">
      <pivotArea type="data" outline="0" fieldPosition="0">
        <references count="2">
          <reference field="4294967294" count="1" selected="0">
            <x v="0"/>
          </reference>
          <reference field="21" count="1" selected="0">
            <x v="12"/>
          </reference>
        </references>
      </pivotArea>
    </chartFormat>
    <chartFormat chart="3" format="5">
      <pivotArea type="data" outline="0" fieldPosition="0">
        <references count="2">
          <reference field="4294967294" count="1" selected="0">
            <x v="0"/>
          </reference>
          <reference field="21" count="1" selected="0">
            <x v="10"/>
          </reference>
        </references>
      </pivotArea>
    </chartFormat>
    <chartFormat chart="3" format="6">
      <pivotArea type="data" outline="0" fieldPosition="0">
        <references count="2">
          <reference field="4294967294" count="1" selected="0">
            <x v="0"/>
          </reference>
          <reference field="21" count="1" selected="0">
            <x v="9"/>
          </reference>
        </references>
      </pivotArea>
    </chartFormat>
    <chartFormat chart="3" format="7">
      <pivotArea type="data" outline="0" fieldPosition="0">
        <references count="2">
          <reference field="4294967294" count="1" selected="0">
            <x v="0"/>
          </reference>
          <reference field="21" count="1" selected="0">
            <x v="7"/>
          </reference>
        </references>
      </pivotArea>
    </chartFormat>
    <chartFormat chart="3" format="8">
      <pivotArea type="data" outline="0" fieldPosition="0">
        <references count="2">
          <reference field="4294967294" count="1" selected="0">
            <x v="0"/>
          </reference>
          <reference field="21" count="1" selected="0">
            <x v="8"/>
          </reference>
        </references>
      </pivotArea>
    </chartFormat>
    <chartFormat chart="3" format="9">
      <pivotArea type="data" outline="0" fieldPosition="0">
        <references count="2">
          <reference field="4294967294" count="1" selected="0">
            <x v="0"/>
          </reference>
          <reference field="21" count="1" selected="0">
            <x v="6"/>
          </reference>
        </references>
      </pivotArea>
    </chartFormat>
    <chartFormat chart="3" format="10">
      <pivotArea type="data" outline="0" fieldPosition="0">
        <references count="2">
          <reference field="4294967294" count="1" selected="0">
            <x v="0"/>
          </reference>
          <reference field="21" count="1" selected="0">
            <x v="5"/>
          </reference>
        </references>
      </pivotArea>
    </chartFormat>
    <chartFormat chart="3" format="11">
      <pivotArea type="data" outline="0" fieldPosition="0">
        <references count="2">
          <reference field="4294967294" count="1" selected="0">
            <x v="0"/>
          </reference>
          <reference field="21" count="1" selected="0">
            <x v="3"/>
          </reference>
        </references>
      </pivotArea>
    </chartFormat>
    <chartFormat chart="3" format="12">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pivotTables>
    <pivotTable tabId="6" name="PivotTable1"/>
    <pivotTable tabId="6" name="PivotTable2"/>
    <pivotTable tabId="6" name="PivotTable3"/>
    <pivotTable tabId="6" name="PivotTable4"/>
  </pivotTables>
  <data>
    <tabular pivotCacheId="1">
      <items count="15">
        <i x="11" s="1"/>
        <i x="14" s="1"/>
        <i x="8" s="1"/>
        <i x="5" s="1"/>
        <i x="6" s="1"/>
        <i x="10" s="1"/>
        <i x="13" s="1"/>
        <i x="0" s="1"/>
        <i x="1" s="1"/>
        <i x="7" s="1"/>
        <i x="9" s="1"/>
        <i x="4" s="1"/>
        <i x="12"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1"/>
    <pivotTable tabId="6" name="PivotTable2"/>
    <pivotTable tabId="6" name="PivotTable3"/>
    <pivotTable tabId="6" name="PivotTable4"/>
  </pivotTables>
  <data>
    <tabular pivotCacheId="1">
      <items count="8">
        <i x="5" s="1"/>
        <i x="7" s="1"/>
        <i x="2" s="1"/>
        <i x="0" s="1"/>
        <i x="3" s="1"/>
        <i x="4"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6" name="PivotTable1"/>
    <pivotTable tabId="6" name="PivotTable2"/>
    <pivotTable tabId="6" name="PivotTable3"/>
    <pivotTable tabId="6" name="PivotTable4"/>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Name" cache="Slicer_Product_Name" caption="Product "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Name 1" cache="Slicer_Product_Name" caption="Product " style="Slicer Style 2" rowHeight="241300"/>
  <slicer name="Category 1" cache="Slicer_Category" caption="Category" style="Slicer Style 2" rowHeight="241300"/>
  <slicer name="Months" cache="Slicer_Months" caption="Months"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2"/>
  <sheetViews>
    <sheetView zoomScale="90" zoomScaleNormal="90" workbookViewId="0">
      <pane ySplit="2" topLeftCell="A3" activePane="bottomLeft" state="frozen"/>
      <selection pane="bottomLeft" activeCell="D4" sqref="D4"/>
    </sheetView>
  </sheetViews>
  <sheetFormatPr defaultRowHeight="14.25" x14ac:dyDescent="0.45"/>
  <cols>
    <col min="1" max="1" width="12" customWidth="1"/>
    <col min="2" max="3" width="13" style="18" customWidth="1"/>
    <col min="4" max="4" width="12" customWidth="1"/>
    <col min="5" max="5" width="18" customWidth="1"/>
    <col min="6" max="6" width="15" customWidth="1"/>
    <col min="7" max="7" width="10" customWidth="1"/>
    <col min="8" max="8" width="12" customWidth="1"/>
    <col min="9" max="9" width="28" customWidth="1"/>
    <col min="10" max="10" width="16" customWidth="1"/>
    <col min="11" max="11" width="12" customWidth="1"/>
    <col min="12" max="12" width="10" customWidth="1"/>
    <col min="13" max="13" width="14" customWidth="1"/>
    <col min="14" max="14" width="12" customWidth="1"/>
    <col min="15" max="15" width="15" customWidth="1"/>
    <col min="16" max="18" width="13" style="22" customWidth="1"/>
    <col min="19" max="19" width="17" customWidth="1"/>
    <col min="20" max="20" width="14" customWidth="1"/>
    <col min="21" max="21" width="13" customWidth="1"/>
  </cols>
  <sheetData>
    <row r="1" spans="1:21" ht="34.049999999999997" customHeight="1" x14ac:dyDescent="0.45">
      <c r="A1" s="30" t="s">
        <v>0</v>
      </c>
      <c r="B1" s="31"/>
      <c r="C1" s="31"/>
      <c r="D1" s="31"/>
      <c r="E1" s="31"/>
      <c r="F1" s="31"/>
      <c r="G1" s="31"/>
      <c r="H1" s="31"/>
      <c r="I1" s="31"/>
      <c r="J1" s="31"/>
      <c r="K1" s="31"/>
      <c r="L1" s="31"/>
      <c r="M1" s="31"/>
      <c r="N1" s="31"/>
      <c r="O1" s="31"/>
      <c r="P1" s="32"/>
      <c r="Q1" s="32"/>
      <c r="R1" s="32"/>
      <c r="S1" s="31"/>
      <c r="T1" s="31"/>
      <c r="U1" s="31"/>
    </row>
    <row r="2" spans="1:21" ht="28.05" customHeight="1" x14ac:dyDescent="0.45">
      <c r="A2" s="1" t="s">
        <v>1</v>
      </c>
      <c r="B2" s="17" t="s">
        <v>2</v>
      </c>
      <c r="C2" s="17" t="s">
        <v>489</v>
      </c>
      <c r="D2" s="1" t="s">
        <v>3</v>
      </c>
      <c r="E2" s="1" t="s">
        <v>4</v>
      </c>
      <c r="F2" s="1" t="s">
        <v>5</v>
      </c>
      <c r="G2" s="1" t="s">
        <v>6</v>
      </c>
      <c r="H2" s="1" t="s">
        <v>7</v>
      </c>
      <c r="I2" s="1" t="s">
        <v>8</v>
      </c>
      <c r="J2" s="1" t="s">
        <v>9</v>
      </c>
      <c r="K2" s="1" t="s">
        <v>10</v>
      </c>
      <c r="L2" s="1" t="s">
        <v>11</v>
      </c>
      <c r="M2" s="1" t="s">
        <v>12</v>
      </c>
      <c r="N2" s="1" t="s">
        <v>13</v>
      </c>
      <c r="O2" s="1" t="s">
        <v>14</v>
      </c>
      <c r="P2" s="26" t="s">
        <v>15</v>
      </c>
      <c r="Q2" s="26" t="s">
        <v>16</v>
      </c>
      <c r="R2" s="26" t="s">
        <v>488</v>
      </c>
      <c r="S2" s="1" t="s">
        <v>17</v>
      </c>
      <c r="T2" s="1" t="s">
        <v>18</v>
      </c>
      <c r="U2" s="1" t="s">
        <v>19</v>
      </c>
    </row>
    <row r="3" spans="1:21" x14ac:dyDescent="0.45">
      <c r="A3" s="2" t="s">
        <v>20</v>
      </c>
      <c r="B3" s="20" t="s">
        <v>21</v>
      </c>
      <c r="C3" s="20">
        <f>DATEVALUE(B3)</f>
        <v>45619</v>
      </c>
      <c r="D3" s="2" t="s">
        <v>22</v>
      </c>
      <c r="E3" s="2" t="s">
        <v>23</v>
      </c>
      <c r="F3" s="2" t="s">
        <v>24</v>
      </c>
      <c r="G3" s="2" t="s">
        <v>25</v>
      </c>
      <c r="H3" s="2" t="s">
        <v>26</v>
      </c>
      <c r="I3" s="2" t="s">
        <v>27</v>
      </c>
      <c r="J3" s="2" t="s">
        <v>28</v>
      </c>
      <c r="K3" s="2" t="s">
        <v>29</v>
      </c>
      <c r="L3" s="2">
        <v>3</v>
      </c>
      <c r="M3" s="3">
        <v>999</v>
      </c>
      <c r="N3" s="4">
        <v>0</v>
      </c>
      <c r="O3" s="23">
        <v>0</v>
      </c>
      <c r="P3" s="23">
        <v>0</v>
      </c>
      <c r="Q3" s="23">
        <v>2997</v>
      </c>
      <c r="R3" s="23">
        <f>(Q3-P3) * 0.2</f>
        <v>599.4</v>
      </c>
      <c r="S3" s="2" t="s">
        <v>30</v>
      </c>
      <c r="T3" s="5" t="s">
        <v>31</v>
      </c>
      <c r="U3" s="2">
        <v>5</v>
      </c>
    </row>
    <row r="4" spans="1:21" x14ac:dyDescent="0.45">
      <c r="A4" s="6" t="s">
        <v>32</v>
      </c>
      <c r="B4" s="21" t="s">
        <v>33</v>
      </c>
      <c r="C4" s="20">
        <f t="shared" ref="C4:C67" si="0">DATEVALUE(B4)</f>
        <v>45336</v>
      </c>
      <c r="D4" s="6" t="s">
        <v>34</v>
      </c>
      <c r="E4" s="6" t="s">
        <v>35</v>
      </c>
      <c r="F4" s="6" t="s">
        <v>36</v>
      </c>
      <c r="G4" s="6" t="s">
        <v>25</v>
      </c>
      <c r="H4" s="6" t="s">
        <v>37</v>
      </c>
      <c r="I4" s="6" t="s">
        <v>38</v>
      </c>
      <c r="J4" s="6" t="s">
        <v>39</v>
      </c>
      <c r="K4" s="6" t="s">
        <v>40</v>
      </c>
      <c r="L4" s="6">
        <v>1</v>
      </c>
      <c r="M4" s="7">
        <v>150</v>
      </c>
      <c r="N4" s="8">
        <v>0</v>
      </c>
      <c r="O4" s="24">
        <v>0</v>
      </c>
      <c r="P4" s="24">
        <v>0</v>
      </c>
      <c r="Q4" s="24">
        <v>150</v>
      </c>
      <c r="R4" s="23">
        <f t="shared" ref="R4:R67" si="1">(Q4-P4) * 0.2</f>
        <v>30</v>
      </c>
      <c r="S4" s="6" t="s">
        <v>41</v>
      </c>
      <c r="T4" s="5" t="s">
        <v>31</v>
      </c>
      <c r="U4" s="6">
        <v>5</v>
      </c>
    </row>
    <row r="5" spans="1:21" x14ac:dyDescent="0.45">
      <c r="A5" s="2" t="s">
        <v>42</v>
      </c>
      <c r="B5" s="20" t="s">
        <v>43</v>
      </c>
      <c r="C5" s="20">
        <f t="shared" si="0"/>
        <v>45305</v>
      </c>
      <c r="D5" s="2" t="s">
        <v>44</v>
      </c>
      <c r="E5" s="2" t="s">
        <v>45</v>
      </c>
      <c r="F5" s="2" t="s">
        <v>46</v>
      </c>
      <c r="G5" s="2" t="s">
        <v>25</v>
      </c>
      <c r="H5" s="2" t="s">
        <v>47</v>
      </c>
      <c r="I5" s="2" t="s">
        <v>48</v>
      </c>
      <c r="J5" s="2" t="s">
        <v>28</v>
      </c>
      <c r="K5" s="2" t="s">
        <v>49</v>
      </c>
      <c r="L5" s="2">
        <v>5</v>
      </c>
      <c r="M5" s="3">
        <v>349</v>
      </c>
      <c r="N5" s="4">
        <v>5</v>
      </c>
      <c r="O5" s="23">
        <v>87.25</v>
      </c>
      <c r="P5" s="23">
        <v>0</v>
      </c>
      <c r="Q5" s="23">
        <v>1657.75</v>
      </c>
      <c r="R5" s="23">
        <f t="shared" si="1"/>
        <v>331.55</v>
      </c>
      <c r="S5" s="2" t="s">
        <v>50</v>
      </c>
      <c r="T5" s="5" t="s">
        <v>31</v>
      </c>
      <c r="U5" s="2">
        <v>1</v>
      </c>
    </row>
    <row r="6" spans="1:21" x14ac:dyDescent="0.45">
      <c r="A6" s="6" t="s">
        <v>51</v>
      </c>
      <c r="B6" s="21" t="s">
        <v>52</v>
      </c>
      <c r="C6" s="20">
        <f t="shared" si="0"/>
        <v>45373</v>
      </c>
      <c r="D6" s="6" t="s">
        <v>53</v>
      </c>
      <c r="E6" s="6" t="s">
        <v>54</v>
      </c>
      <c r="F6" s="6" t="s">
        <v>55</v>
      </c>
      <c r="G6" s="6" t="s">
        <v>25</v>
      </c>
      <c r="H6" s="6" t="s">
        <v>56</v>
      </c>
      <c r="I6" s="6" t="s">
        <v>57</v>
      </c>
      <c r="J6" s="6" t="s">
        <v>58</v>
      </c>
      <c r="K6" s="6" t="s">
        <v>59</v>
      </c>
      <c r="L6" s="6">
        <v>3</v>
      </c>
      <c r="M6" s="7">
        <v>79</v>
      </c>
      <c r="N6" s="8">
        <v>0</v>
      </c>
      <c r="O6" s="24">
        <v>0</v>
      </c>
      <c r="P6" s="24">
        <v>0</v>
      </c>
      <c r="Q6" s="24">
        <v>237</v>
      </c>
      <c r="R6" s="23">
        <f t="shared" si="1"/>
        <v>47.400000000000006</v>
      </c>
      <c r="S6" s="6" t="s">
        <v>50</v>
      </c>
      <c r="T6" s="9" t="s">
        <v>60</v>
      </c>
      <c r="U6" s="6"/>
    </row>
    <row r="7" spans="1:21" x14ac:dyDescent="0.45">
      <c r="A7" s="2" t="s">
        <v>61</v>
      </c>
      <c r="B7" s="20" t="s">
        <v>62</v>
      </c>
      <c r="C7" s="20">
        <f t="shared" si="0"/>
        <v>45344</v>
      </c>
      <c r="D7" s="2" t="s">
        <v>22</v>
      </c>
      <c r="E7" s="2" t="s">
        <v>23</v>
      </c>
      <c r="F7" s="2" t="s">
        <v>24</v>
      </c>
      <c r="G7" s="2" t="s">
        <v>25</v>
      </c>
      <c r="H7" s="2" t="s">
        <v>37</v>
      </c>
      <c r="I7" s="2" t="s">
        <v>38</v>
      </c>
      <c r="J7" s="2" t="s">
        <v>39</v>
      </c>
      <c r="K7" s="2" t="s">
        <v>40</v>
      </c>
      <c r="L7" s="2">
        <v>1</v>
      </c>
      <c r="M7" s="3">
        <v>150</v>
      </c>
      <c r="N7" s="4">
        <v>0</v>
      </c>
      <c r="O7" s="23">
        <v>0</v>
      </c>
      <c r="P7" s="23">
        <v>5</v>
      </c>
      <c r="Q7" s="23">
        <v>155</v>
      </c>
      <c r="R7" s="23">
        <f t="shared" si="1"/>
        <v>30</v>
      </c>
      <c r="S7" s="2" t="s">
        <v>30</v>
      </c>
      <c r="T7" s="5" t="s">
        <v>31</v>
      </c>
      <c r="U7" s="2">
        <v>4</v>
      </c>
    </row>
    <row r="8" spans="1:21" x14ac:dyDescent="0.45">
      <c r="A8" s="6" t="s">
        <v>63</v>
      </c>
      <c r="B8" s="21" t="s">
        <v>64</v>
      </c>
      <c r="C8" s="20">
        <f t="shared" si="0"/>
        <v>45566</v>
      </c>
      <c r="D8" s="6" t="s">
        <v>22</v>
      </c>
      <c r="E8" s="6" t="s">
        <v>23</v>
      </c>
      <c r="F8" s="6" t="s">
        <v>24</v>
      </c>
      <c r="G8" s="6" t="s">
        <v>25</v>
      </c>
      <c r="H8" s="6" t="s">
        <v>65</v>
      </c>
      <c r="I8" s="6" t="s">
        <v>66</v>
      </c>
      <c r="J8" s="6" t="s">
        <v>67</v>
      </c>
      <c r="K8" s="6" t="s">
        <v>68</v>
      </c>
      <c r="L8" s="6">
        <v>4</v>
      </c>
      <c r="M8" s="7">
        <v>1200</v>
      </c>
      <c r="N8" s="8">
        <v>0</v>
      </c>
      <c r="O8" s="24">
        <v>0</v>
      </c>
      <c r="P8" s="24">
        <v>15</v>
      </c>
      <c r="Q8" s="24">
        <v>4815</v>
      </c>
      <c r="R8" s="23">
        <f t="shared" si="1"/>
        <v>960</v>
      </c>
      <c r="S8" s="6" t="s">
        <v>41</v>
      </c>
      <c r="T8" s="5" t="s">
        <v>31</v>
      </c>
      <c r="U8" s="6">
        <v>3</v>
      </c>
    </row>
    <row r="9" spans="1:21" x14ac:dyDescent="0.45">
      <c r="A9" s="2" t="s">
        <v>69</v>
      </c>
      <c r="B9" s="20" t="s">
        <v>70</v>
      </c>
      <c r="C9" s="20">
        <f t="shared" si="0"/>
        <v>45587</v>
      </c>
      <c r="D9" s="2" t="s">
        <v>71</v>
      </c>
      <c r="E9" s="2" t="s">
        <v>72</v>
      </c>
      <c r="F9" s="2" t="s">
        <v>73</v>
      </c>
      <c r="G9" s="2" t="s">
        <v>25</v>
      </c>
      <c r="H9" s="2" t="s">
        <v>74</v>
      </c>
      <c r="I9" s="2" t="s">
        <v>75</v>
      </c>
      <c r="J9" s="2" t="s">
        <v>76</v>
      </c>
      <c r="K9" s="2" t="s">
        <v>77</v>
      </c>
      <c r="L9" s="2">
        <v>1</v>
      </c>
      <c r="M9" s="3">
        <v>320</v>
      </c>
      <c r="N9" s="4">
        <v>0</v>
      </c>
      <c r="O9" s="23">
        <v>0</v>
      </c>
      <c r="P9" s="23">
        <v>0</v>
      </c>
      <c r="Q9" s="23">
        <v>320</v>
      </c>
      <c r="R9" s="23">
        <f t="shared" si="1"/>
        <v>64</v>
      </c>
      <c r="S9" s="2" t="s">
        <v>30</v>
      </c>
      <c r="T9" s="10" t="s">
        <v>78</v>
      </c>
      <c r="U9" s="2"/>
    </row>
    <row r="10" spans="1:21" x14ac:dyDescent="0.45">
      <c r="A10" s="6" t="s">
        <v>79</v>
      </c>
      <c r="B10" s="21" t="s">
        <v>80</v>
      </c>
      <c r="C10" s="20">
        <f t="shared" si="0"/>
        <v>45411</v>
      </c>
      <c r="D10" s="6" t="s">
        <v>22</v>
      </c>
      <c r="E10" s="6" t="s">
        <v>23</v>
      </c>
      <c r="F10" s="6" t="s">
        <v>24</v>
      </c>
      <c r="G10" s="6" t="s">
        <v>25</v>
      </c>
      <c r="H10" s="6" t="s">
        <v>37</v>
      </c>
      <c r="I10" s="6" t="s">
        <v>38</v>
      </c>
      <c r="J10" s="6" t="s">
        <v>39</v>
      </c>
      <c r="K10" s="6" t="s">
        <v>40</v>
      </c>
      <c r="L10" s="6">
        <v>3</v>
      </c>
      <c r="M10" s="7">
        <v>150</v>
      </c>
      <c r="N10" s="8">
        <v>5</v>
      </c>
      <c r="O10" s="24">
        <v>22.5</v>
      </c>
      <c r="P10" s="24">
        <v>5</v>
      </c>
      <c r="Q10" s="24">
        <v>432.5</v>
      </c>
      <c r="R10" s="23">
        <f t="shared" si="1"/>
        <v>85.5</v>
      </c>
      <c r="S10" s="6" t="s">
        <v>50</v>
      </c>
      <c r="T10" s="5" t="s">
        <v>31</v>
      </c>
      <c r="U10" s="6">
        <v>2</v>
      </c>
    </row>
    <row r="11" spans="1:21" x14ac:dyDescent="0.45">
      <c r="A11" s="2" t="s">
        <v>81</v>
      </c>
      <c r="B11" s="20" t="s">
        <v>82</v>
      </c>
      <c r="C11" s="20">
        <f t="shared" si="0"/>
        <v>45635</v>
      </c>
      <c r="D11" s="2" t="s">
        <v>83</v>
      </c>
      <c r="E11" s="2" t="s">
        <v>84</v>
      </c>
      <c r="F11" s="2" t="s">
        <v>85</v>
      </c>
      <c r="G11" s="2" t="s">
        <v>25</v>
      </c>
      <c r="H11" s="2" t="s">
        <v>74</v>
      </c>
      <c r="I11" s="2" t="s">
        <v>75</v>
      </c>
      <c r="J11" s="2" t="s">
        <v>76</v>
      </c>
      <c r="K11" s="2" t="s">
        <v>77</v>
      </c>
      <c r="L11" s="2">
        <v>1</v>
      </c>
      <c r="M11" s="3">
        <v>320</v>
      </c>
      <c r="N11" s="4">
        <v>10</v>
      </c>
      <c r="O11" s="23">
        <v>32</v>
      </c>
      <c r="P11" s="23">
        <v>0</v>
      </c>
      <c r="Q11" s="23">
        <v>288</v>
      </c>
      <c r="R11" s="23">
        <f t="shared" si="1"/>
        <v>57.6</v>
      </c>
      <c r="S11" s="2" t="s">
        <v>86</v>
      </c>
      <c r="T11" s="5" t="s">
        <v>31</v>
      </c>
      <c r="U11" s="2">
        <v>2</v>
      </c>
    </row>
    <row r="12" spans="1:21" x14ac:dyDescent="0.45">
      <c r="A12" s="6" t="s">
        <v>87</v>
      </c>
      <c r="B12" s="21" t="s">
        <v>88</v>
      </c>
      <c r="C12" s="20">
        <f t="shared" si="0"/>
        <v>45528</v>
      </c>
      <c r="D12" s="6" t="s">
        <v>53</v>
      </c>
      <c r="E12" s="6" t="s">
        <v>54</v>
      </c>
      <c r="F12" s="6" t="s">
        <v>55</v>
      </c>
      <c r="G12" s="6" t="s">
        <v>25</v>
      </c>
      <c r="H12" s="6" t="s">
        <v>89</v>
      </c>
      <c r="I12" s="6" t="s">
        <v>90</v>
      </c>
      <c r="J12" s="6" t="s">
        <v>58</v>
      </c>
      <c r="K12" s="6" t="s">
        <v>91</v>
      </c>
      <c r="L12" s="6">
        <v>5</v>
      </c>
      <c r="M12" s="7">
        <v>29</v>
      </c>
      <c r="N12" s="8">
        <v>0</v>
      </c>
      <c r="O12" s="24">
        <v>0</v>
      </c>
      <c r="P12" s="24">
        <v>5</v>
      </c>
      <c r="Q12" s="24">
        <v>150</v>
      </c>
      <c r="R12" s="23">
        <f t="shared" si="1"/>
        <v>29</v>
      </c>
      <c r="S12" s="6" t="s">
        <v>30</v>
      </c>
      <c r="T12" s="11" t="s">
        <v>92</v>
      </c>
      <c r="U12" s="6"/>
    </row>
    <row r="13" spans="1:21" x14ac:dyDescent="0.45">
      <c r="A13" s="2" t="s">
        <v>93</v>
      </c>
      <c r="B13" s="20" t="s">
        <v>94</v>
      </c>
      <c r="C13" s="20">
        <f t="shared" si="0"/>
        <v>45409</v>
      </c>
      <c r="D13" s="2" t="s">
        <v>95</v>
      </c>
      <c r="E13" s="2" t="s">
        <v>96</v>
      </c>
      <c r="F13" s="2" t="s">
        <v>97</v>
      </c>
      <c r="G13" s="2" t="s">
        <v>25</v>
      </c>
      <c r="H13" s="2" t="s">
        <v>98</v>
      </c>
      <c r="I13" s="2" t="s">
        <v>99</v>
      </c>
      <c r="J13" s="2" t="s">
        <v>100</v>
      </c>
      <c r="K13" s="2" t="s">
        <v>101</v>
      </c>
      <c r="L13" s="2">
        <v>3</v>
      </c>
      <c r="M13" s="3">
        <v>18</v>
      </c>
      <c r="N13" s="4">
        <v>5</v>
      </c>
      <c r="O13" s="23">
        <v>2.7</v>
      </c>
      <c r="P13" s="23">
        <v>5</v>
      </c>
      <c r="Q13" s="23">
        <v>56.3</v>
      </c>
      <c r="R13" s="23">
        <f t="shared" si="1"/>
        <v>10.26</v>
      </c>
      <c r="S13" s="2" t="s">
        <v>41</v>
      </c>
      <c r="T13" s="5" t="s">
        <v>31</v>
      </c>
      <c r="U13" s="2">
        <v>3</v>
      </c>
    </row>
    <row r="14" spans="1:21" x14ac:dyDescent="0.45">
      <c r="A14" s="6" t="s">
        <v>102</v>
      </c>
      <c r="B14" s="21" t="s">
        <v>103</v>
      </c>
      <c r="C14" s="20">
        <f t="shared" si="0"/>
        <v>45400</v>
      </c>
      <c r="D14" s="6" t="s">
        <v>104</v>
      </c>
      <c r="E14" s="6" t="s">
        <v>105</v>
      </c>
      <c r="F14" s="6" t="s">
        <v>106</v>
      </c>
      <c r="G14" s="6" t="s">
        <v>25</v>
      </c>
      <c r="H14" s="6" t="s">
        <v>37</v>
      </c>
      <c r="I14" s="6" t="s">
        <v>38</v>
      </c>
      <c r="J14" s="6" t="s">
        <v>39</v>
      </c>
      <c r="K14" s="6" t="s">
        <v>40</v>
      </c>
      <c r="L14" s="6">
        <v>4</v>
      </c>
      <c r="M14" s="7">
        <v>150</v>
      </c>
      <c r="N14" s="8">
        <v>0</v>
      </c>
      <c r="O14" s="24">
        <v>0</v>
      </c>
      <c r="P14" s="24">
        <v>5</v>
      </c>
      <c r="Q14" s="24">
        <v>605</v>
      </c>
      <c r="R14" s="23">
        <f t="shared" si="1"/>
        <v>120</v>
      </c>
      <c r="S14" s="6" t="s">
        <v>41</v>
      </c>
      <c r="T14" s="5" t="s">
        <v>31</v>
      </c>
      <c r="U14" s="6">
        <v>5</v>
      </c>
    </row>
    <row r="15" spans="1:21" x14ac:dyDescent="0.45">
      <c r="A15" s="2" t="s">
        <v>107</v>
      </c>
      <c r="B15" s="20" t="s">
        <v>108</v>
      </c>
      <c r="C15" s="20">
        <f t="shared" si="0"/>
        <v>45426</v>
      </c>
      <c r="D15" s="2" t="s">
        <v>34</v>
      </c>
      <c r="E15" s="2" t="s">
        <v>35</v>
      </c>
      <c r="F15" s="2" t="s">
        <v>36</v>
      </c>
      <c r="G15" s="2" t="s">
        <v>25</v>
      </c>
      <c r="H15" s="2" t="s">
        <v>37</v>
      </c>
      <c r="I15" s="2" t="s">
        <v>38</v>
      </c>
      <c r="J15" s="2" t="s">
        <v>39</v>
      </c>
      <c r="K15" s="2" t="s">
        <v>40</v>
      </c>
      <c r="L15" s="2">
        <v>5</v>
      </c>
      <c r="M15" s="3">
        <v>150</v>
      </c>
      <c r="N15" s="4">
        <v>5</v>
      </c>
      <c r="O15" s="23">
        <v>37.5</v>
      </c>
      <c r="P15" s="23">
        <v>5</v>
      </c>
      <c r="Q15" s="23">
        <v>717.5</v>
      </c>
      <c r="R15" s="23">
        <f t="shared" si="1"/>
        <v>142.5</v>
      </c>
      <c r="S15" s="2" t="s">
        <v>86</v>
      </c>
      <c r="T15" s="5" t="s">
        <v>31</v>
      </c>
      <c r="U15" s="2">
        <v>5</v>
      </c>
    </row>
    <row r="16" spans="1:21" x14ac:dyDescent="0.45">
      <c r="A16" s="6" t="s">
        <v>109</v>
      </c>
      <c r="B16" s="21" t="s">
        <v>110</v>
      </c>
      <c r="C16" s="20">
        <f t="shared" si="0"/>
        <v>45544</v>
      </c>
      <c r="D16" s="6" t="s">
        <v>22</v>
      </c>
      <c r="E16" s="6" t="s">
        <v>23</v>
      </c>
      <c r="F16" s="6" t="s">
        <v>24</v>
      </c>
      <c r="G16" s="6" t="s">
        <v>25</v>
      </c>
      <c r="H16" s="6" t="s">
        <v>98</v>
      </c>
      <c r="I16" s="6" t="s">
        <v>99</v>
      </c>
      <c r="J16" s="6" t="s">
        <v>100</v>
      </c>
      <c r="K16" s="6" t="s">
        <v>101</v>
      </c>
      <c r="L16" s="6">
        <v>1</v>
      </c>
      <c r="M16" s="7">
        <v>18</v>
      </c>
      <c r="N16" s="8">
        <v>20</v>
      </c>
      <c r="O16" s="24">
        <v>3.6</v>
      </c>
      <c r="P16" s="24">
        <v>0</v>
      </c>
      <c r="Q16" s="24">
        <v>14.4</v>
      </c>
      <c r="R16" s="23">
        <f t="shared" si="1"/>
        <v>2.8800000000000003</v>
      </c>
      <c r="S16" s="6" t="s">
        <v>86</v>
      </c>
      <c r="T16" s="5" t="s">
        <v>31</v>
      </c>
      <c r="U16" s="6">
        <v>4</v>
      </c>
    </row>
    <row r="17" spans="1:21" x14ac:dyDescent="0.45">
      <c r="A17" s="2" t="s">
        <v>111</v>
      </c>
      <c r="B17" s="20" t="s">
        <v>112</v>
      </c>
      <c r="C17" s="20">
        <f t="shared" si="0"/>
        <v>45597</v>
      </c>
      <c r="D17" s="2" t="s">
        <v>22</v>
      </c>
      <c r="E17" s="2" t="s">
        <v>23</v>
      </c>
      <c r="F17" s="2" t="s">
        <v>24</v>
      </c>
      <c r="G17" s="2" t="s">
        <v>25</v>
      </c>
      <c r="H17" s="2" t="s">
        <v>37</v>
      </c>
      <c r="I17" s="2" t="s">
        <v>38</v>
      </c>
      <c r="J17" s="2" t="s">
        <v>39</v>
      </c>
      <c r="K17" s="2" t="s">
        <v>40</v>
      </c>
      <c r="L17" s="2">
        <v>4</v>
      </c>
      <c r="M17" s="3">
        <v>150</v>
      </c>
      <c r="N17" s="4">
        <v>10</v>
      </c>
      <c r="O17" s="23">
        <v>60</v>
      </c>
      <c r="P17" s="23">
        <v>10</v>
      </c>
      <c r="Q17" s="23">
        <v>550</v>
      </c>
      <c r="R17" s="23">
        <f t="shared" si="1"/>
        <v>108</v>
      </c>
      <c r="S17" s="2" t="s">
        <v>41</v>
      </c>
      <c r="T17" s="5" t="s">
        <v>31</v>
      </c>
      <c r="U17" s="2">
        <v>1</v>
      </c>
    </row>
    <row r="18" spans="1:21" x14ac:dyDescent="0.45">
      <c r="A18" s="6" t="s">
        <v>113</v>
      </c>
      <c r="B18" s="21" t="s">
        <v>114</v>
      </c>
      <c r="C18" s="20">
        <f t="shared" si="0"/>
        <v>45640</v>
      </c>
      <c r="D18" s="6" t="s">
        <v>22</v>
      </c>
      <c r="E18" s="6" t="s">
        <v>23</v>
      </c>
      <c r="F18" s="6" t="s">
        <v>24</v>
      </c>
      <c r="G18" s="6" t="s">
        <v>25</v>
      </c>
      <c r="H18" s="6" t="s">
        <v>115</v>
      </c>
      <c r="I18" s="6" t="s">
        <v>116</v>
      </c>
      <c r="J18" s="6" t="s">
        <v>117</v>
      </c>
      <c r="K18" s="6" t="s">
        <v>118</v>
      </c>
      <c r="L18" s="6">
        <v>5</v>
      </c>
      <c r="M18" s="7">
        <v>120</v>
      </c>
      <c r="N18" s="8">
        <v>20</v>
      </c>
      <c r="O18" s="24">
        <v>120</v>
      </c>
      <c r="P18" s="24">
        <v>5</v>
      </c>
      <c r="Q18" s="24">
        <v>485</v>
      </c>
      <c r="R18" s="23">
        <f t="shared" si="1"/>
        <v>96</v>
      </c>
      <c r="S18" s="6" t="s">
        <v>50</v>
      </c>
      <c r="T18" s="10" t="s">
        <v>78</v>
      </c>
      <c r="U18" s="6"/>
    </row>
    <row r="19" spans="1:21" x14ac:dyDescent="0.45">
      <c r="A19" s="2" t="s">
        <v>119</v>
      </c>
      <c r="B19" s="20" t="s">
        <v>120</v>
      </c>
      <c r="C19" s="20">
        <f t="shared" si="0"/>
        <v>45349</v>
      </c>
      <c r="D19" s="2" t="s">
        <v>83</v>
      </c>
      <c r="E19" s="2" t="s">
        <v>84</v>
      </c>
      <c r="F19" s="2" t="s">
        <v>85</v>
      </c>
      <c r="G19" s="2" t="s">
        <v>25</v>
      </c>
      <c r="H19" s="2" t="s">
        <v>37</v>
      </c>
      <c r="I19" s="2" t="s">
        <v>38</v>
      </c>
      <c r="J19" s="2" t="s">
        <v>39</v>
      </c>
      <c r="K19" s="2" t="s">
        <v>40</v>
      </c>
      <c r="L19" s="2">
        <v>2</v>
      </c>
      <c r="M19" s="3">
        <v>150</v>
      </c>
      <c r="N19" s="4">
        <v>5</v>
      </c>
      <c r="O19" s="23">
        <v>15</v>
      </c>
      <c r="P19" s="23">
        <v>0</v>
      </c>
      <c r="Q19" s="23">
        <v>285</v>
      </c>
      <c r="R19" s="23">
        <f t="shared" si="1"/>
        <v>57</v>
      </c>
      <c r="S19" s="2" t="s">
        <v>50</v>
      </c>
      <c r="T19" s="9" t="s">
        <v>60</v>
      </c>
      <c r="U19" s="2"/>
    </row>
    <row r="20" spans="1:21" x14ac:dyDescent="0.45">
      <c r="A20" s="6" t="s">
        <v>121</v>
      </c>
      <c r="B20" s="21" t="s">
        <v>122</v>
      </c>
      <c r="C20" s="20">
        <f t="shared" si="0"/>
        <v>45548</v>
      </c>
      <c r="D20" s="6" t="s">
        <v>123</v>
      </c>
      <c r="E20" s="6" t="s">
        <v>124</v>
      </c>
      <c r="F20" s="6" t="s">
        <v>125</v>
      </c>
      <c r="G20" s="6" t="s">
        <v>25</v>
      </c>
      <c r="H20" s="6" t="s">
        <v>126</v>
      </c>
      <c r="I20" s="6" t="s">
        <v>127</v>
      </c>
      <c r="J20" s="6" t="s">
        <v>128</v>
      </c>
      <c r="K20" s="6" t="s">
        <v>129</v>
      </c>
      <c r="L20" s="6">
        <v>1</v>
      </c>
      <c r="M20" s="7">
        <v>35</v>
      </c>
      <c r="N20" s="8">
        <v>20</v>
      </c>
      <c r="O20" s="24">
        <v>7</v>
      </c>
      <c r="P20" s="24">
        <v>5</v>
      </c>
      <c r="Q20" s="24">
        <v>33</v>
      </c>
      <c r="R20" s="23">
        <f t="shared" si="1"/>
        <v>5.6000000000000005</v>
      </c>
      <c r="S20" s="6" t="s">
        <v>41</v>
      </c>
      <c r="T20" s="11" t="s">
        <v>92</v>
      </c>
      <c r="U20" s="6"/>
    </row>
    <row r="21" spans="1:21" x14ac:dyDescent="0.45">
      <c r="A21" s="2" t="s">
        <v>130</v>
      </c>
      <c r="B21" s="20" t="s">
        <v>131</v>
      </c>
      <c r="C21" s="20">
        <f t="shared" si="0"/>
        <v>45603</v>
      </c>
      <c r="D21" s="2" t="s">
        <v>71</v>
      </c>
      <c r="E21" s="2" t="s">
        <v>72</v>
      </c>
      <c r="F21" s="2" t="s">
        <v>73</v>
      </c>
      <c r="G21" s="2" t="s">
        <v>25</v>
      </c>
      <c r="H21" s="2" t="s">
        <v>132</v>
      </c>
      <c r="I21" s="2" t="s">
        <v>133</v>
      </c>
      <c r="J21" s="2" t="s">
        <v>28</v>
      </c>
      <c r="K21" s="2" t="s">
        <v>134</v>
      </c>
      <c r="L21" s="2">
        <v>3</v>
      </c>
      <c r="M21" s="3">
        <v>1299</v>
      </c>
      <c r="N21" s="4">
        <v>20</v>
      </c>
      <c r="O21" s="23">
        <v>779.4</v>
      </c>
      <c r="P21" s="23">
        <v>0</v>
      </c>
      <c r="Q21" s="23">
        <v>3117.6</v>
      </c>
      <c r="R21" s="23">
        <f t="shared" si="1"/>
        <v>623.52</v>
      </c>
      <c r="S21" s="2" t="s">
        <v>41</v>
      </c>
      <c r="T21" s="5" t="s">
        <v>31</v>
      </c>
      <c r="U21" s="2">
        <v>1</v>
      </c>
    </row>
    <row r="22" spans="1:21" x14ac:dyDescent="0.45">
      <c r="A22" s="6" t="s">
        <v>135</v>
      </c>
      <c r="B22" s="21" t="s">
        <v>136</v>
      </c>
      <c r="C22" s="20">
        <f t="shared" si="0"/>
        <v>45598</v>
      </c>
      <c r="D22" s="6" t="s">
        <v>137</v>
      </c>
      <c r="E22" s="6" t="s">
        <v>138</v>
      </c>
      <c r="F22" s="6" t="s">
        <v>139</v>
      </c>
      <c r="G22" s="6" t="s">
        <v>25</v>
      </c>
      <c r="H22" s="6" t="s">
        <v>140</v>
      </c>
      <c r="I22" s="6" t="s">
        <v>141</v>
      </c>
      <c r="J22" s="6" t="s">
        <v>39</v>
      </c>
      <c r="K22" s="6" t="s">
        <v>142</v>
      </c>
      <c r="L22" s="6">
        <v>1</v>
      </c>
      <c r="M22" s="7">
        <v>180</v>
      </c>
      <c r="N22" s="8">
        <v>0</v>
      </c>
      <c r="O22" s="24">
        <v>0</v>
      </c>
      <c r="P22" s="24">
        <v>5</v>
      </c>
      <c r="Q22" s="24">
        <v>185</v>
      </c>
      <c r="R22" s="23">
        <f t="shared" si="1"/>
        <v>36</v>
      </c>
      <c r="S22" s="6" t="s">
        <v>50</v>
      </c>
      <c r="T22" s="11" t="s">
        <v>92</v>
      </c>
      <c r="U22" s="6"/>
    </row>
    <row r="23" spans="1:21" x14ac:dyDescent="0.45">
      <c r="A23" s="2" t="s">
        <v>143</v>
      </c>
      <c r="B23" s="20" t="s">
        <v>144</v>
      </c>
      <c r="C23" s="20">
        <f t="shared" si="0"/>
        <v>45414</v>
      </c>
      <c r="D23" s="2" t="s">
        <v>95</v>
      </c>
      <c r="E23" s="2" t="s">
        <v>96</v>
      </c>
      <c r="F23" s="2" t="s">
        <v>97</v>
      </c>
      <c r="G23" s="2" t="s">
        <v>25</v>
      </c>
      <c r="H23" s="2" t="s">
        <v>47</v>
      </c>
      <c r="I23" s="2" t="s">
        <v>48</v>
      </c>
      <c r="J23" s="2" t="s">
        <v>28</v>
      </c>
      <c r="K23" s="2" t="s">
        <v>49</v>
      </c>
      <c r="L23" s="2">
        <v>5</v>
      </c>
      <c r="M23" s="3">
        <v>349</v>
      </c>
      <c r="N23" s="4">
        <v>0</v>
      </c>
      <c r="O23" s="23">
        <v>0</v>
      </c>
      <c r="P23" s="23">
        <v>0</v>
      </c>
      <c r="Q23" s="23">
        <v>1745</v>
      </c>
      <c r="R23" s="23">
        <f t="shared" si="1"/>
        <v>349</v>
      </c>
      <c r="S23" s="2" t="s">
        <v>30</v>
      </c>
      <c r="T23" s="10" t="s">
        <v>78</v>
      </c>
      <c r="U23" s="2"/>
    </row>
    <row r="24" spans="1:21" x14ac:dyDescent="0.45">
      <c r="A24" s="6" t="s">
        <v>145</v>
      </c>
      <c r="B24" s="21" t="s">
        <v>146</v>
      </c>
      <c r="C24" s="20">
        <f t="shared" si="0"/>
        <v>45564</v>
      </c>
      <c r="D24" s="6" t="s">
        <v>123</v>
      </c>
      <c r="E24" s="6" t="s">
        <v>124</v>
      </c>
      <c r="F24" s="6" t="s">
        <v>125</v>
      </c>
      <c r="G24" s="6" t="s">
        <v>25</v>
      </c>
      <c r="H24" s="6" t="s">
        <v>132</v>
      </c>
      <c r="I24" s="6" t="s">
        <v>133</v>
      </c>
      <c r="J24" s="6" t="s">
        <v>28</v>
      </c>
      <c r="K24" s="6" t="s">
        <v>134</v>
      </c>
      <c r="L24" s="6">
        <v>4</v>
      </c>
      <c r="M24" s="7">
        <v>1299</v>
      </c>
      <c r="N24" s="8">
        <v>10</v>
      </c>
      <c r="O24" s="24">
        <v>519.6</v>
      </c>
      <c r="P24" s="24">
        <v>0</v>
      </c>
      <c r="Q24" s="24">
        <v>4676.3999999999996</v>
      </c>
      <c r="R24" s="23">
        <f t="shared" si="1"/>
        <v>935.28</v>
      </c>
      <c r="S24" s="6" t="s">
        <v>41</v>
      </c>
      <c r="T24" s="5" t="s">
        <v>31</v>
      </c>
      <c r="U24" s="6">
        <v>4</v>
      </c>
    </row>
    <row r="25" spans="1:21" x14ac:dyDescent="0.45">
      <c r="A25" s="2" t="s">
        <v>147</v>
      </c>
      <c r="B25" s="20" t="s">
        <v>103</v>
      </c>
      <c r="C25" s="20">
        <f t="shared" si="0"/>
        <v>45400</v>
      </c>
      <c r="D25" s="2" t="s">
        <v>44</v>
      </c>
      <c r="E25" s="2" t="s">
        <v>45</v>
      </c>
      <c r="F25" s="2" t="s">
        <v>46</v>
      </c>
      <c r="G25" s="2" t="s">
        <v>25</v>
      </c>
      <c r="H25" s="2" t="s">
        <v>98</v>
      </c>
      <c r="I25" s="2" t="s">
        <v>99</v>
      </c>
      <c r="J25" s="2" t="s">
        <v>100</v>
      </c>
      <c r="K25" s="2" t="s">
        <v>101</v>
      </c>
      <c r="L25" s="2">
        <v>2</v>
      </c>
      <c r="M25" s="3">
        <v>18</v>
      </c>
      <c r="N25" s="4">
        <v>15</v>
      </c>
      <c r="O25" s="23">
        <v>5.4</v>
      </c>
      <c r="P25" s="23">
        <v>5</v>
      </c>
      <c r="Q25" s="23">
        <v>35.6</v>
      </c>
      <c r="R25" s="23">
        <f t="shared" si="1"/>
        <v>6.120000000000001</v>
      </c>
      <c r="S25" s="2" t="s">
        <v>50</v>
      </c>
      <c r="T25" s="5" t="s">
        <v>31</v>
      </c>
      <c r="U25" s="2">
        <v>4</v>
      </c>
    </row>
    <row r="26" spans="1:21" x14ac:dyDescent="0.45">
      <c r="A26" s="6" t="s">
        <v>148</v>
      </c>
      <c r="B26" s="21" t="s">
        <v>149</v>
      </c>
      <c r="C26" s="20">
        <f t="shared" si="0"/>
        <v>45556</v>
      </c>
      <c r="D26" s="6" t="s">
        <v>104</v>
      </c>
      <c r="E26" s="6" t="s">
        <v>105</v>
      </c>
      <c r="F26" s="6" t="s">
        <v>106</v>
      </c>
      <c r="G26" s="6" t="s">
        <v>25</v>
      </c>
      <c r="H26" s="6" t="s">
        <v>150</v>
      </c>
      <c r="I26" s="6" t="s">
        <v>151</v>
      </c>
      <c r="J26" s="6" t="s">
        <v>28</v>
      </c>
      <c r="K26" s="6" t="s">
        <v>68</v>
      </c>
      <c r="L26" s="6">
        <v>2</v>
      </c>
      <c r="M26" s="7">
        <v>849</v>
      </c>
      <c r="N26" s="8">
        <v>0</v>
      </c>
      <c r="O26" s="24">
        <v>0</v>
      </c>
      <c r="P26" s="24">
        <v>0</v>
      </c>
      <c r="Q26" s="24">
        <v>1698</v>
      </c>
      <c r="R26" s="23">
        <f t="shared" si="1"/>
        <v>339.6</v>
      </c>
      <c r="S26" s="6" t="s">
        <v>41</v>
      </c>
      <c r="T26" s="5" t="s">
        <v>31</v>
      </c>
      <c r="U26" s="6">
        <v>5</v>
      </c>
    </row>
    <row r="27" spans="1:21" x14ac:dyDescent="0.45">
      <c r="A27" s="2" t="s">
        <v>152</v>
      </c>
      <c r="B27" s="20" t="s">
        <v>94</v>
      </c>
      <c r="C27" s="20">
        <f t="shared" si="0"/>
        <v>45409</v>
      </c>
      <c r="D27" s="2" t="s">
        <v>34</v>
      </c>
      <c r="E27" s="2" t="s">
        <v>35</v>
      </c>
      <c r="F27" s="2" t="s">
        <v>36</v>
      </c>
      <c r="G27" s="2" t="s">
        <v>25</v>
      </c>
      <c r="H27" s="2" t="s">
        <v>47</v>
      </c>
      <c r="I27" s="2" t="s">
        <v>48</v>
      </c>
      <c r="J27" s="2" t="s">
        <v>28</v>
      </c>
      <c r="K27" s="2" t="s">
        <v>49</v>
      </c>
      <c r="L27" s="2">
        <v>1</v>
      </c>
      <c r="M27" s="3">
        <v>349</v>
      </c>
      <c r="N27" s="4">
        <v>0</v>
      </c>
      <c r="O27" s="23">
        <v>0</v>
      </c>
      <c r="P27" s="23">
        <v>0</v>
      </c>
      <c r="Q27" s="23">
        <v>349</v>
      </c>
      <c r="R27" s="23">
        <f t="shared" si="1"/>
        <v>69.8</v>
      </c>
      <c r="S27" s="2" t="s">
        <v>30</v>
      </c>
      <c r="T27" s="5" t="s">
        <v>31</v>
      </c>
      <c r="U27" s="2">
        <v>3</v>
      </c>
    </row>
    <row r="28" spans="1:21" x14ac:dyDescent="0.45">
      <c r="A28" s="6" t="s">
        <v>153</v>
      </c>
      <c r="B28" s="21" t="s">
        <v>154</v>
      </c>
      <c r="C28" s="20">
        <f t="shared" si="0"/>
        <v>45328</v>
      </c>
      <c r="D28" s="6" t="s">
        <v>44</v>
      </c>
      <c r="E28" s="6" t="s">
        <v>45</v>
      </c>
      <c r="F28" s="6" t="s">
        <v>46</v>
      </c>
      <c r="G28" s="6" t="s">
        <v>25</v>
      </c>
      <c r="H28" s="6" t="s">
        <v>47</v>
      </c>
      <c r="I28" s="6" t="s">
        <v>48</v>
      </c>
      <c r="J28" s="6" t="s">
        <v>28</v>
      </c>
      <c r="K28" s="6" t="s">
        <v>49</v>
      </c>
      <c r="L28" s="6">
        <v>3</v>
      </c>
      <c r="M28" s="7">
        <v>349</v>
      </c>
      <c r="N28" s="8">
        <v>15</v>
      </c>
      <c r="O28" s="24">
        <v>157.05000000000001</v>
      </c>
      <c r="P28" s="24">
        <v>10</v>
      </c>
      <c r="Q28" s="24">
        <v>899.95</v>
      </c>
      <c r="R28" s="23">
        <f t="shared" si="1"/>
        <v>177.99</v>
      </c>
      <c r="S28" s="6" t="s">
        <v>86</v>
      </c>
      <c r="T28" s="5" t="s">
        <v>31</v>
      </c>
      <c r="U28" s="6">
        <v>5</v>
      </c>
    </row>
    <row r="29" spans="1:21" x14ac:dyDescent="0.45">
      <c r="A29" s="2" t="s">
        <v>155</v>
      </c>
      <c r="B29" s="20" t="s">
        <v>70</v>
      </c>
      <c r="C29" s="20">
        <f t="shared" si="0"/>
        <v>45587</v>
      </c>
      <c r="D29" s="2" t="s">
        <v>104</v>
      </c>
      <c r="E29" s="2" t="s">
        <v>105</v>
      </c>
      <c r="F29" s="2" t="s">
        <v>106</v>
      </c>
      <c r="G29" s="2" t="s">
        <v>25</v>
      </c>
      <c r="H29" s="2" t="s">
        <v>47</v>
      </c>
      <c r="I29" s="2" t="s">
        <v>48</v>
      </c>
      <c r="J29" s="2" t="s">
        <v>28</v>
      </c>
      <c r="K29" s="2" t="s">
        <v>49</v>
      </c>
      <c r="L29" s="2">
        <v>4</v>
      </c>
      <c r="M29" s="3">
        <v>349</v>
      </c>
      <c r="N29" s="4">
        <v>20</v>
      </c>
      <c r="O29" s="23">
        <v>279.2</v>
      </c>
      <c r="P29" s="23">
        <v>10</v>
      </c>
      <c r="Q29" s="23">
        <v>1126.8</v>
      </c>
      <c r="R29" s="23">
        <f t="shared" si="1"/>
        <v>223.36</v>
      </c>
      <c r="S29" s="2" t="s">
        <v>30</v>
      </c>
      <c r="T29" s="5" t="s">
        <v>31</v>
      </c>
      <c r="U29" s="2">
        <v>4</v>
      </c>
    </row>
    <row r="30" spans="1:21" x14ac:dyDescent="0.45">
      <c r="A30" s="6" t="s">
        <v>156</v>
      </c>
      <c r="B30" s="21" t="s">
        <v>157</v>
      </c>
      <c r="C30" s="20">
        <f t="shared" si="0"/>
        <v>45473</v>
      </c>
      <c r="D30" s="6" t="s">
        <v>53</v>
      </c>
      <c r="E30" s="6" t="s">
        <v>54</v>
      </c>
      <c r="F30" s="6" t="s">
        <v>55</v>
      </c>
      <c r="G30" s="6" t="s">
        <v>25</v>
      </c>
      <c r="H30" s="6" t="s">
        <v>37</v>
      </c>
      <c r="I30" s="6" t="s">
        <v>38</v>
      </c>
      <c r="J30" s="6" t="s">
        <v>39</v>
      </c>
      <c r="K30" s="6" t="s">
        <v>40</v>
      </c>
      <c r="L30" s="6">
        <v>4</v>
      </c>
      <c r="M30" s="7">
        <v>150</v>
      </c>
      <c r="N30" s="8">
        <v>20</v>
      </c>
      <c r="O30" s="24">
        <v>120</v>
      </c>
      <c r="P30" s="24">
        <v>0</v>
      </c>
      <c r="Q30" s="24">
        <v>480</v>
      </c>
      <c r="R30" s="23">
        <f t="shared" si="1"/>
        <v>96</v>
      </c>
      <c r="S30" s="6" t="s">
        <v>30</v>
      </c>
      <c r="T30" s="10" t="s">
        <v>78</v>
      </c>
      <c r="U30" s="6"/>
    </row>
    <row r="31" spans="1:21" x14ac:dyDescent="0.45">
      <c r="A31" s="2" t="s">
        <v>158</v>
      </c>
      <c r="B31" s="20" t="s">
        <v>159</v>
      </c>
      <c r="C31" s="20">
        <f t="shared" si="0"/>
        <v>45323</v>
      </c>
      <c r="D31" s="2" t="s">
        <v>53</v>
      </c>
      <c r="E31" s="2" t="s">
        <v>54</v>
      </c>
      <c r="F31" s="2" t="s">
        <v>55</v>
      </c>
      <c r="G31" s="2" t="s">
        <v>25</v>
      </c>
      <c r="H31" s="2" t="s">
        <v>74</v>
      </c>
      <c r="I31" s="2" t="s">
        <v>75</v>
      </c>
      <c r="J31" s="2" t="s">
        <v>76</v>
      </c>
      <c r="K31" s="2" t="s">
        <v>77</v>
      </c>
      <c r="L31" s="2">
        <v>3</v>
      </c>
      <c r="M31" s="3">
        <v>320</v>
      </c>
      <c r="N31" s="4">
        <v>20</v>
      </c>
      <c r="O31" s="23">
        <v>192</v>
      </c>
      <c r="P31" s="23">
        <v>0</v>
      </c>
      <c r="Q31" s="23">
        <v>768</v>
      </c>
      <c r="R31" s="23">
        <f t="shared" si="1"/>
        <v>153.60000000000002</v>
      </c>
      <c r="S31" s="2" t="s">
        <v>86</v>
      </c>
      <c r="T31" s="5" t="s">
        <v>31</v>
      </c>
      <c r="U31" s="2">
        <v>5</v>
      </c>
    </row>
    <row r="32" spans="1:21" x14ac:dyDescent="0.45">
      <c r="A32" s="6" t="s">
        <v>160</v>
      </c>
      <c r="B32" s="21" t="s">
        <v>161</v>
      </c>
      <c r="C32" s="20">
        <f t="shared" si="0"/>
        <v>45521</v>
      </c>
      <c r="D32" s="6" t="s">
        <v>123</v>
      </c>
      <c r="E32" s="6" t="s">
        <v>124</v>
      </c>
      <c r="F32" s="6" t="s">
        <v>125</v>
      </c>
      <c r="G32" s="6" t="s">
        <v>25</v>
      </c>
      <c r="H32" s="6" t="s">
        <v>37</v>
      </c>
      <c r="I32" s="6" t="s">
        <v>38</v>
      </c>
      <c r="J32" s="6" t="s">
        <v>39</v>
      </c>
      <c r="K32" s="6" t="s">
        <v>40</v>
      </c>
      <c r="L32" s="6">
        <v>2</v>
      </c>
      <c r="M32" s="7">
        <v>150</v>
      </c>
      <c r="N32" s="8">
        <v>0</v>
      </c>
      <c r="O32" s="24">
        <v>0</v>
      </c>
      <c r="P32" s="24">
        <v>10</v>
      </c>
      <c r="Q32" s="24">
        <v>310</v>
      </c>
      <c r="R32" s="23">
        <f t="shared" si="1"/>
        <v>60</v>
      </c>
      <c r="S32" s="6" t="s">
        <v>30</v>
      </c>
      <c r="T32" s="5" t="s">
        <v>31</v>
      </c>
      <c r="U32" s="6">
        <v>4</v>
      </c>
    </row>
    <row r="33" spans="1:21" x14ac:dyDescent="0.45">
      <c r="A33" s="2" t="s">
        <v>162</v>
      </c>
      <c r="B33" s="20" t="s">
        <v>163</v>
      </c>
      <c r="C33" s="20">
        <f t="shared" si="0"/>
        <v>45573</v>
      </c>
      <c r="D33" s="2" t="s">
        <v>22</v>
      </c>
      <c r="E33" s="2" t="s">
        <v>23</v>
      </c>
      <c r="F33" s="2" t="s">
        <v>24</v>
      </c>
      <c r="G33" s="2" t="s">
        <v>25</v>
      </c>
      <c r="H33" s="2" t="s">
        <v>26</v>
      </c>
      <c r="I33" s="2" t="s">
        <v>27</v>
      </c>
      <c r="J33" s="2" t="s">
        <v>28</v>
      </c>
      <c r="K33" s="2" t="s">
        <v>29</v>
      </c>
      <c r="L33" s="2">
        <v>5</v>
      </c>
      <c r="M33" s="3">
        <v>999</v>
      </c>
      <c r="N33" s="4">
        <v>20</v>
      </c>
      <c r="O33" s="23">
        <v>999</v>
      </c>
      <c r="P33" s="23">
        <v>0</v>
      </c>
      <c r="Q33" s="23">
        <v>3996</v>
      </c>
      <c r="R33" s="23">
        <f t="shared" si="1"/>
        <v>799.2</v>
      </c>
      <c r="S33" s="2" t="s">
        <v>86</v>
      </c>
      <c r="T33" s="9" t="s">
        <v>60</v>
      </c>
      <c r="U33" s="2"/>
    </row>
    <row r="34" spans="1:21" x14ac:dyDescent="0.45">
      <c r="A34" s="6" t="s">
        <v>164</v>
      </c>
      <c r="B34" s="21" t="s">
        <v>165</v>
      </c>
      <c r="C34" s="20">
        <f t="shared" si="0"/>
        <v>45377</v>
      </c>
      <c r="D34" s="6" t="s">
        <v>53</v>
      </c>
      <c r="E34" s="6" t="s">
        <v>54</v>
      </c>
      <c r="F34" s="6" t="s">
        <v>55</v>
      </c>
      <c r="G34" s="6" t="s">
        <v>25</v>
      </c>
      <c r="H34" s="6" t="s">
        <v>140</v>
      </c>
      <c r="I34" s="6" t="s">
        <v>141</v>
      </c>
      <c r="J34" s="6" t="s">
        <v>39</v>
      </c>
      <c r="K34" s="6" t="s">
        <v>142</v>
      </c>
      <c r="L34" s="6">
        <v>4</v>
      </c>
      <c r="M34" s="7">
        <v>180</v>
      </c>
      <c r="N34" s="8">
        <v>0</v>
      </c>
      <c r="O34" s="24">
        <v>0</v>
      </c>
      <c r="P34" s="24">
        <v>10</v>
      </c>
      <c r="Q34" s="24">
        <v>730</v>
      </c>
      <c r="R34" s="23">
        <f t="shared" si="1"/>
        <v>144</v>
      </c>
      <c r="S34" s="6" t="s">
        <v>86</v>
      </c>
      <c r="T34" s="9" t="s">
        <v>60</v>
      </c>
      <c r="U34" s="6"/>
    </row>
    <row r="35" spans="1:21" x14ac:dyDescent="0.45">
      <c r="A35" s="2" t="s">
        <v>166</v>
      </c>
      <c r="B35" s="20" t="s">
        <v>167</v>
      </c>
      <c r="C35" s="20">
        <f t="shared" si="0"/>
        <v>45486</v>
      </c>
      <c r="D35" s="2" t="s">
        <v>95</v>
      </c>
      <c r="E35" s="2" t="s">
        <v>96</v>
      </c>
      <c r="F35" s="2" t="s">
        <v>97</v>
      </c>
      <c r="G35" s="2" t="s">
        <v>25</v>
      </c>
      <c r="H35" s="2" t="s">
        <v>37</v>
      </c>
      <c r="I35" s="2" t="s">
        <v>38</v>
      </c>
      <c r="J35" s="2" t="s">
        <v>39</v>
      </c>
      <c r="K35" s="2" t="s">
        <v>40</v>
      </c>
      <c r="L35" s="2">
        <v>3</v>
      </c>
      <c r="M35" s="3">
        <v>150</v>
      </c>
      <c r="N35" s="4">
        <v>20</v>
      </c>
      <c r="O35" s="23">
        <v>90</v>
      </c>
      <c r="P35" s="23">
        <v>10</v>
      </c>
      <c r="Q35" s="23">
        <v>370</v>
      </c>
      <c r="R35" s="23">
        <f t="shared" si="1"/>
        <v>72</v>
      </c>
      <c r="S35" s="2" t="s">
        <v>41</v>
      </c>
      <c r="T35" s="5" t="s">
        <v>31</v>
      </c>
      <c r="U35" s="2">
        <v>4</v>
      </c>
    </row>
    <row r="36" spans="1:21" x14ac:dyDescent="0.45">
      <c r="A36" s="6" t="s">
        <v>168</v>
      </c>
      <c r="B36" s="21" t="s">
        <v>169</v>
      </c>
      <c r="C36" s="20">
        <f t="shared" si="0"/>
        <v>45371</v>
      </c>
      <c r="D36" s="6" t="s">
        <v>71</v>
      </c>
      <c r="E36" s="6" t="s">
        <v>72</v>
      </c>
      <c r="F36" s="6" t="s">
        <v>73</v>
      </c>
      <c r="G36" s="6" t="s">
        <v>25</v>
      </c>
      <c r="H36" s="6" t="s">
        <v>89</v>
      </c>
      <c r="I36" s="6" t="s">
        <v>90</v>
      </c>
      <c r="J36" s="6" t="s">
        <v>58</v>
      </c>
      <c r="K36" s="6" t="s">
        <v>91</v>
      </c>
      <c r="L36" s="6">
        <v>2</v>
      </c>
      <c r="M36" s="7">
        <v>29</v>
      </c>
      <c r="N36" s="8">
        <v>0</v>
      </c>
      <c r="O36" s="24">
        <v>0</v>
      </c>
      <c r="P36" s="24">
        <v>15</v>
      </c>
      <c r="Q36" s="24">
        <v>73</v>
      </c>
      <c r="R36" s="23">
        <f t="shared" si="1"/>
        <v>11.600000000000001</v>
      </c>
      <c r="S36" s="6" t="s">
        <v>30</v>
      </c>
      <c r="T36" s="10" t="s">
        <v>78</v>
      </c>
      <c r="U36" s="6"/>
    </row>
    <row r="37" spans="1:21" x14ac:dyDescent="0.45">
      <c r="A37" s="2" t="s">
        <v>170</v>
      </c>
      <c r="B37" s="20" t="s">
        <v>171</v>
      </c>
      <c r="C37" s="20">
        <f t="shared" si="0"/>
        <v>45452</v>
      </c>
      <c r="D37" s="2" t="s">
        <v>95</v>
      </c>
      <c r="E37" s="2" t="s">
        <v>96</v>
      </c>
      <c r="F37" s="2" t="s">
        <v>97</v>
      </c>
      <c r="G37" s="2" t="s">
        <v>25</v>
      </c>
      <c r="H37" s="2" t="s">
        <v>26</v>
      </c>
      <c r="I37" s="2" t="s">
        <v>27</v>
      </c>
      <c r="J37" s="2" t="s">
        <v>28</v>
      </c>
      <c r="K37" s="2" t="s">
        <v>29</v>
      </c>
      <c r="L37" s="2">
        <v>5</v>
      </c>
      <c r="M37" s="3">
        <v>999</v>
      </c>
      <c r="N37" s="4">
        <v>5</v>
      </c>
      <c r="O37" s="23">
        <v>249.75</v>
      </c>
      <c r="P37" s="23">
        <v>15</v>
      </c>
      <c r="Q37" s="23">
        <v>4760.25</v>
      </c>
      <c r="R37" s="23">
        <f t="shared" si="1"/>
        <v>949.05000000000007</v>
      </c>
      <c r="S37" s="2" t="s">
        <v>41</v>
      </c>
      <c r="T37" s="9" t="s">
        <v>60</v>
      </c>
      <c r="U37" s="2"/>
    </row>
    <row r="38" spans="1:21" x14ac:dyDescent="0.45">
      <c r="A38" s="6" t="s">
        <v>172</v>
      </c>
      <c r="B38" s="21" t="s">
        <v>173</v>
      </c>
      <c r="C38" s="20">
        <f t="shared" si="0"/>
        <v>45372</v>
      </c>
      <c r="D38" s="6" t="s">
        <v>95</v>
      </c>
      <c r="E38" s="6" t="s">
        <v>96</v>
      </c>
      <c r="F38" s="6" t="s">
        <v>97</v>
      </c>
      <c r="G38" s="6" t="s">
        <v>25</v>
      </c>
      <c r="H38" s="6" t="s">
        <v>126</v>
      </c>
      <c r="I38" s="6" t="s">
        <v>127</v>
      </c>
      <c r="J38" s="6" t="s">
        <v>128</v>
      </c>
      <c r="K38" s="6" t="s">
        <v>129</v>
      </c>
      <c r="L38" s="6">
        <v>1</v>
      </c>
      <c r="M38" s="7">
        <v>35</v>
      </c>
      <c r="N38" s="8">
        <v>20</v>
      </c>
      <c r="O38" s="24">
        <v>7</v>
      </c>
      <c r="P38" s="24">
        <v>0</v>
      </c>
      <c r="Q38" s="24">
        <v>28</v>
      </c>
      <c r="R38" s="23">
        <f t="shared" si="1"/>
        <v>5.6000000000000005</v>
      </c>
      <c r="S38" s="6" t="s">
        <v>30</v>
      </c>
      <c r="T38" s="5" t="s">
        <v>31</v>
      </c>
      <c r="U38" s="6">
        <v>2</v>
      </c>
    </row>
    <row r="39" spans="1:21" x14ac:dyDescent="0.45">
      <c r="A39" s="2" t="s">
        <v>174</v>
      </c>
      <c r="B39" s="20" t="s">
        <v>175</v>
      </c>
      <c r="C39" s="20">
        <f t="shared" si="0"/>
        <v>45498</v>
      </c>
      <c r="D39" s="2" t="s">
        <v>22</v>
      </c>
      <c r="E39" s="2" t="s">
        <v>23</v>
      </c>
      <c r="F39" s="2" t="s">
        <v>24</v>
      </c>
      <c r="G39" s="2" t="s">
        <v>25</v>
      </c>
      <c r="H39" s="2" t="s">
        <v>65</v>
      </c>
      <c r="I39" s="2" t="s">
        <v>66</v>
      </c>
      <c r="J39" s="2" t="s">
        <v>67</v>
      </c>
      <c r="K39" s="2" t="s">
        <v>68</v>
      </c>
      <c r="L39" s="2">
        <v>5</v>
      </c>
      <c r="M39" s="3">
        <v>1200</v>
      </c>
      <c r="N39" s="4">
        <v>0</v>
      </c>
      <c r="O39" s="23">
        <v>0</v>
      </c>
      <c r="P39" s="23">
        <v>15</v>
      </c>
      <c r="Q39" s="23">
        <v>6015</v>
      </c>
      <c r="R39" s="23">
        <f t="shared" si="1"/>
        <v>1200</v>
      </c>
      <c r="S39" s="2" t="s">
        <v>41</v>
      </c>
      <c r="T39" s="5" t="s">
        <v>31</v>
      </c>
      <c r="U39" s="2">
        <v>1</v>
      </c>
    </row>
    <row r="40" spans="1:21" x14ac:dyDescent="0.45">
      <c r="A40" s="6" t="s">
        <v>176</v>
      </c>
      <c r="B40" s="21" t="s">
        <v>177</v>
      </c>
      <c r="C40" s="20">
        <f t="shared" si="0"/>
        <v>45506</v>
      </c>
      <c r="D40" s="6" t="s">
        <v>34</v>
      </c>
      <c r="E40" s="6" t="s">
        <v>35</v>
      </c>
      <c r="F40" s="6" t="s">
        <v>36</v>
      </c>
      <c r="G40" s="6" t="s">
        <v>25</v>
      </c>
      <c r="H40" s="6" t="s">
        <v>178</v>
      </c>
      <c r="I40" s="6" t="s">
        <v>179</v>
      </c>
      <c r="J40" s="6" t="s">
        <v>128</v>
      </c>
      <c r="K40" s="6" t="s">
        <v>180</v>
      </c>
      <c r="L40" s="6">
        <v>5</v>
      </c>
      <c r="M40" s="7">
        <v>28</v>
      </c>
      <c r="N40" s="8">
        <v>0</v>
      </c>
      <c r="O40" s="24">
        <v>0</v>
      </c>
      <c r="P40" s="24">
        <v>5</v>
      </c>
      <c r="Q40" s="24">
        <v>145</v>
      </c>
      <c r="R40" s="23">
        <f t="shared" si="1"/>
        <v>28</v>
      </c>
      <c r="S40" s="6" t="s">
        <v>50</v>
      </c>
      <c r="T40" s="5" t="s">
        <v>31</v>
      </c>
      <c r="U40" s="6">
        <v>2</v>
      </c>
    </row>
    <row r="41" spans="1:21" x14ac:dyDescent="0.45">
      <c r="A41" s="2" t="s">
        <v>181</v>
      </c>
      <c r="B41" s="20" t="s">
        <v>182</v>
      </c>
      <c r="C41" s="20">
        <f t="shared" si="0"/>
        <v>45427</v>
      </c>
      <c r="D41" s="2" t="s">
        <v>53</v>
      </c>
      <c r="E41" s="2" t="s">
        <v>54</v>
      </c>
      <c r="F41" s="2" t="s">
        <v>55</v>
      </c>
      <c r="G41" s="2" t="s">
        <v>25</v>
      </c>
      <c r="H41" s="2" t="s">
        <v>132</v>
      </c>
      <c r="I41" s="2" t="s">
        <v>133</v>
      </c>
      <c r="J41" s="2" t="s">
        <v>28</v>
      </c>
      <c r="K41" s="2" t="s">
        <v>134</v>
      </c>
      <c r="L41" s="2">
        <v>3</v>
      </c>
      <c r="M41" s="3">
        <v>1299</v>
      </c>
      <c r="N41" s="4">
        <v>5</v>
      </c>
      <c r="O41" s="23">
        <v>194.85</v>
      </c>
      <c r="P41" s="23">
        <v>5</v>
      </c>
      <c r="Q41" s="23">
        <v>3707.15</v>
      </c>
      <c r="R41" s="23">
        <f t="shared" si="1"/>
        <v>740.43000000000006</v>
      </c>
      <c r="S41" s="2" t="s">
        <v>30</v>
      </c>
      <c r="T41" s="9" t="s">
        <v>60</v>
      </c>
      <c r="U41" s="2"/>
    </row>
    <row r="42" spans="1:21" x14ac:dyDescent="0.45">
      <c r="A42" s="6" t="s">
        <v>183</v>
      </c>
      <c r="B42" s="21" t="s">
        <v>184</v>
      </c>
      <c r="C42" s="20">
        <f t="shared" si="0"/>
        <v>45296</v>
      </c>
      <c r="D42" s="6" t="s">
        <v>104</v>
      </c>
      <c r="E42" s="6" t="s">
        <v>105</v>
      </c>
      <c r="F42" s="6" t="s">
        <v>106</v>
      </c>
      <c r="G42" s="6" t="s">
        <v>25</v>
      </c>
      <c r="H42" s="6" t="s">
        <v>178</v>
      </c>
      <c r="I42" s="6" t="s">
        <v>179</v>
      </c>
      <c r="J42" s="6" t="s">
        <v>128</v>
      </c>
      <c r="K42" s="6" t="s">
        <v>180</v>
      </c>
      <c r="L42" s="6">
        <v>5</v>
      </c>
      <c r="M42" s="7">
        <v>28</v>
      </c>
      <c r="N42" s="8">
        <v>0</v>
      </c>
      <c r="O42" s="24">
        <v>0</v>
      </c>
      <c r="P42" s="24">
        <v>0</v>
      </c>
      <c r="Q42" s="24">
        <v>140</v>
      </c>
      <c r="R42" s="23">
        <f t="shared" si="1"/>
        <v>28</v>
      </c>
      <c r="S42" s="6" t="s">
        <v>41</v>
      </c>
      <c r="T42" s="5" t="s">
        <v>31</v>
      </c>
      <c r="U42" s="6">
        <v>3</v>
      </c>
    </row>
    <row r="43" spans="1:21" x14ac:dyDescent="0.45">
      <c r="A43" s="2" t="s">
        <v>185</v>
      </c>
      <c r="B43" s="20" t="s">
        <v>186</v>
      </c>
      <c r="C43" s="20">
        <f t="shared" si="0"/>
        <v>45359</v>
      </c>
      <c r="D43" s="2" t="s">
        <v>137</v>
      </c>
      <c r="E43" s="2" t="s">
        <v>138</v>
      </c>
      <c r="F43" s="2" t="s">
        <v>139</v>
      </c>
      <c r="G43" s="2" t="s">
        <v>25</v>
      </c>
      <c r="H43" s="2" t="s">
        <v>65</v>
      </c>
      <c r="I43" s="2" t="s">
        <v>66</v>
      </c>
      <c r="J43" s="2" t="s">
        <v>67</v>
      </c>
      <c r="K43" s="2" t="s">
        <v>68</v>
      </c>
      <c r="L43" s="2">
        <v>1</v>
      </c>
      <c r="M43" s="3">
        <v>1200</v>
      </c>
      <c r="N43" s="4">
        <v>0</v>
      </c>
      <c r="O43" s="23">
        <v>0</v>
      </c>
      <c r="P43" s="23">
        <v>5</v>
      </c>
      <c r="Q43" s="23">
        <v>1205</v>
      </c>
      <c r="R43" s="23">
        <f t="shared" si="1"/>
        <v>240</v>
      </c>
      <c r="S43" s="2" t="s">
        <v>187</v>
      </c>
      <c r="T43" s="5" t="s">
        <v>31</v>
      </c>
      <c r="U43" s="2">
        <v>5</v>
      </c>
    </row>
    <row r="44" spans="1:21" x14ac:dyDescent="0.45">
      <c r="A44" s="6" t="s">
        <v>188</v>
      </c>
      <c r="B44" s="21" t="s">
        <v>189</v>
      </c>
      <c r="C44" s="20">
        <f t="shared" si="0"/>
        <v>45652</v>
      </c>
      <c r="D44" s="6" t="s">
        <v>83</v>
      </c>
      <c r="E44" s="6" t="s">
        <v>84</v>
      </c>
      <c r="F44" s="6" t="s">
        <v>85</v>
      </c>
      <c r="G44" s="6" t="s">
        <v>25</v>
      </c>
      <c r="H44" s="6" t="s">
        <v>178</v>
      </c>
      <c r="I44" s="6" t="s">
        <v>179</v>
      </c>
      <c r="J44" s="6" t="s">
        <v>128</v>
      </c>
      <c r="K44" s="6" t="s">
        <v>180</v>
      </c>
      <c r="L44" s="6">
        <v>5</v>
      </c>
      <c r="M44" s="7">
        <v>28</v>
      </c>
      <c r="N44" s="8">
        <v>0</v>
      </c>
      <c r="O44" s="24">
        <v>0</v>
      </c>
      <c r="P44" s="24">
        <v>15</v>
      </c>
      <c r="Q44" s="24">
        <v>155</v>
      </c>
      <c r="R44" s="23">
        <f t="shared" si="1"/>
        <v>28</v>
      </c>
      <c r="S44" s="6" t="s">
        <v>30</v>
      </c>
      <c r="T44" s="5" t="s">
        <v>31</v>
      </c>
      <c r="U44" s="6">
        <v>2</v>
      </c>
    </row>
    <row r="45" spans="1:21" x14ac:dyDescent="0.45">
      <c r="A45" s="2" t="s">
        <v>190</v>
      </c>
      <c r="B45" s="20" t="s">
        <v>182</v>
      </c>
      <c r="C45" s="20">
        <f t="shared" si="0"/>
        <v>45427</v>
      </c>
      <c r="D45" s="2" t="s">
        <v>22</v>
      </c>
      <c r="E45" s="2" t="s">
        <v>23</v>
      </c>
      <c r="F45" s="2" t="s">
        <v>24</v>
      </c>
      <c r="G45" s="2" t="s">
        <v>25</v>
      </c>
      <c r="H45" s="2" t="s">
        <v>65</v>
      </c>
      <c r="I45" s="2" t="s">
        <v>66</v>
      </c>
      <c r="J45" s="2" t="s">
        <v>67</v>
      </c>
      <c r="K45" s="2" t="s">
        <v>68</v>
      </c>
      <c r="L45" s="2">
        <v>1</v>
      </c>
      <c r="M45" s="3">
        <v>1200</v>
      </c>
      <c r="N45" s="4">
        <v>15</v>
      </c>
      <c r="O45" s="23">
        <v>180</v>
      </c>
      <c r="P45" s="23">
        <v>15</v>
      </c>
      <c r="Q45" s="23">
        <v>1035</v>
      </c>
      <c r="R45" s="23">
        <f t="shared" si="1"/>
        <v>204</v>
      </c>
      <c r="S45" s="2" t="s">
        <v>50</v>
      </c>
      <c r="T45" s="5" t="s">
        <v>31</v>
      </c>
      <c r="U45" s="2">
        <v>5</v>
      </c>
    </row>
    <row r="46" spans="1:21" x14ac:dyDescent="0.45">
      <c r="A46" s="6" t="s">
        <v>191</v>
      </c>
      <c r="B46" s="21" t="s">
        <v>192</v>
      </c>
      <c r="C46" s="20">
        <f t="shared" si="0"/>
        <v>45399</v>
      </c>
      <c r="D46" s="6" t="s">
        <v>137</v>
      </c>
      <c r="E46" s="6" t="s">
        <v>138</v>
      </c>
      <c r="F46" s="6" t="s">
        <v>139</v>
      </c>
      <c r="G46" s="6" t="s">
        <v>25</v>
      </c>
      <c r="H46" s="6" t="s">
        <v>47</v>
      </c>
      <c r="I46" s="6" t="s">
        <v>48</v>
      </c>
      <c r="J46" s="6" t="s">
        <v>28</v>
      </c>
      <c r="K46" s="6" t="s">
        <v>49</v>
      </c>
      <c r="L46" s="6">
        <v>3</v>
      </c>
      <c r="M46" s="7">
        <v>349</v>
      </c>
      <c r="N46" s="8">
        <v>10</v>
      </c>
      <c r="O46" s="24">
        <v>104.7</v>
      </c>
      <c r="P46" s="24">
        <v>10</v>
      </c>
      <c r="Q46" s="24">
        <v>952.3</v>
      </c>
      <c r="R46" s="23">
        <f t="shared" si="1"/>
        <v>188.46</v>
      </c>
      <c r="S46" s="6" t="s">
        <v>30</v>
      </c>
      <c r="T46" s="5" t="s">
        <v>31</v>
      </c>
      <c r="U46" s="6">
        <v>1</v>
      </c>
    </row>
    <row r="47" spans="1:21" x14ac:dyDescent="0.45">
      <c r="A47" s="2" t="s">
        <v>193</v>
      </c>
      <c r="B47" s="20" t="s">
        <v>194</v>
      </c>
      <c r="C47" s="20">
        <f t="shared" si="0"/>
        <v>45616</v>
      </c>
      <c r="D47" s="2" t="s">
        <v>53</v>
      </c>
      <c r="E47" s="2" t="s">
        <v>54</v>
      </c>
      <c r="F47" s="2" t="s">
        <v>55</v>
      </c>
      <c r="G47" s="2" t="s">
        <v>25</v>
      </c>
      <c r="H47" s="2" t="s">
        <v>195</v>
      </c>
      <c r="I47" s="2" t="s">
        <v>196</v>
      </c>
      <c r="J47" s="2" t="s">
        <v>67</v>
      </c>
      <c r="K47" s="2" t="s">
        <v>197</v>
      </c>
      <c r="L47" s="2">
        <v>3</v>
      </c>
      <c r="M47" s="3">
        <v>750</v>
      </c>
      <c r="N47" s="4">
        <v>0</v>
      </c>
      <c r="O47" s="23">
        <v>0</v>
      </c>
      <c r="P47" s="23">
        <v>0</v>
      </c>
      <c r="Q47" s="23">
        <v>2250</v>
      </c>
      <c r="R47" s="23">
        <f t="shared" si="1"/>
        <v>450</v>
      </c>
      <c r="S47" s="2" t="s">
        <v>86</v>
      </c>
      <c r="T47" s="5" t="s">
        <v>31</v>
      </c>
      <c r="U47" s="2">
        <v>3</v>
      </c>
    </row>
    <row r="48" spans="1:21" x14ac:dyDescent="0.45">
      <c r="A48" s="6" t="s">
        <v>198</v>
      </c>
      <c r="B48" s="21" t="s">
        <v>199</v>
      </c>
      <c r="C48" s="20">
        <f t="shared" si="0"/>
        <v>45374</v>
      </c>
      <c r="D48" s="6" t="s">
        <v>104</v>
      </c>
      <c r="E48" s="6" t="s">
        <v>105</v>
      </c>
      <c r="F48" s="6" t="s">
        <v>106</v>
      </c>
      <c r="G48" s="6" t="s">
        <v>25</v>
      </c>
      <c r="H48" s="6" t="s">
        <v>126</v>
      </c>
      <c r="I48" s="6" t="s">
        <v>127</v>
      </c>
      <c r="J48" s="6" t="s">
        <v>128</v>
      </c>
      <c r="K48" s="6" t="s">
        <v>129</v>
      </c>
      <c r="L48" s="6">
        <v>4</v>
      </c>
      <c r="M48" s="7">
        <v>35</v>
      </c>
      <c r="N48" s="8">
        <v>10</v>
      </c>
      <c r="O48" s="24">
        <v>14</v>
      </c>
      <c r="P48" s="24">
        <v>0</v>
      </c>
      <c r="Q48" s="24">
        <v>126</v>
      </c>
      <c r="R48" s="23">
        <f t="shared" si="1"/>
        <v>25.200000000000003</v>
      </c>
      <c r="S48" s="6" t="s">
        <v>86</v>
      </c>
      <c r="T48" s="5" t="s">
        <v>31</v>
      </c>
      <c r="U48" s="6">
        <v>5</v>
      </c>
    </row>
    <row r="49" spans="1:21" x14ac:dyDescent="0.45">
      <c r="A49" s="2" t="s">
        <v>200</v>
      </c>
      <c r="B49" s="20" t="s">
        <v>201</v>
      </c>
      <c r="C49" s="20">
        <f t="shared" si="0"/>
        <v>45310</v>
      </c>
      <c r="D49" s="2" t="s">
        <v>137</v>
      </c>
      <c r="E49" s="2" t="s">
        <v>138</v>
      </c>
      <c r="F49" s="2" t="s">
        <v>139</v>
      </c>
      <c r="G49" s="2" t="s">
        <v>25</v>
      </c>
      <c r="H49" s="2" t="s">
        <v>178</v>
      </c>
      <c r="I49" s="2" t="s">
        <v>179</v>
      </c>
      <c r="J49" s="2" t="s">
        <v>128</v>
      </c>
      <c r="K49" s="2" t="s">
        <v>180</v>
      </c>
      <c r="L49" s="2">
        <v>5</v>
      </c>
      <c r="M49" s="3">
        <v>28</v>
      </c>
      <c r="N49" s="4">
        <v>0</v>
      </c>
      <c r="O49" s="23">
        <v>0</v>
      </c>
      <c r="P49" s="23">
        <v>10</v>
      </c>
      <c r="Q49" s="23">
        <v>150</v>
      </c>
      <c r="R49" s="23">
        <f t="shared" si="1"/>
        <v>28</v>
      </c>
      <c r="S49" s="2" t="s">
        <v>50</v>
      </c>
      <c r="T49" s="5" t="s">
        <v>31</v>
      </c>
      <c r="U49" s="2">
        <v>3</v>
      </c>
    </row>
    <row r="50" spans="1:21" x14ac:dyDescent="0.45">
      <c r="A50" s="6" t="s">
        <v>202</v>
      </c>
      <c r="B50" s="21" t="s">
        <v>203</v>
      </c>
      <c r="C50" s="20">
        <f t="shared" si="0"/>
        <v>45312</v>
      </c>
      <c r="D50" s="6" t="s">
        <v>137</v>
      </c>
      <c r="E50" s="6" t="s">
        <v>138</v>
      </c>
      <c r="F50" s="6" t="s">
        <v>139</v>
      </c>
      <c r="G50" s="6" t="s">
        <v>25</v>
      </c>
      <c r="H50" s="6" t="s">
        <v>47</v>
      </c>
      <c r="I50" s="6" t="s">
        <v>48</v>
      </c>
      <c r="J50" s="6" t="s">
        <v>28</v>
      </c>
      <c r="K50" s="6" t="s">
        <v>49</v>
      </c>
      <c r="L50" s="6">
        <v>2</v>
      </c>
      <c r="M50" s="7">
        <v>349</v>
      </c>
      <c r="N50" s="8">
        <v>15</v>
      </c>
      <c r="O50" s="24">
        <v>104.7</v>
      </c>
      <c r="P50" s="24">
        <v>0</v>
      </c>
      <c r="Q50" s="24">
        <v>593.29999999999995</v>
      </c>
      <c r="R50" s="23">
        <f t="shared" si="1"/>
        <v>118.66</v>
      </c>
      <c r="S50" s="6" t="s">
        <v>41</v>
      </c>
      <c r="T50" s="5" t="s">
        <v>31</v>
      </c>
      <c r="U50" s="6">
        <v>4</v>
      </c>
    </row>
    <row r="51" spans="1:21" x14ac:dyDescent="0.45">
      <c r="A51" s="2" t="s">
        <v>204</v>
      </c>
      <c r="B51" s="20" t="s">
        <v>205</v>
      </c>
      <c r="C51" s="20">
        <f t="shared" si="0"/>
        <v>45609</v>
      </c>
      <c r="D51" s="2" t="s">
        <v>123</v>
      </c>
      <c r="E51" s="2" t="s">
        <v>124</v>
      </c>
      <c r="F51" s="2" t="s">
        <v>125</v>
      </c>
      <c r="G51" s="2" t="s">
        <v>25</v>
      </c>
      <c r="H51" s="2" t="s">
        <v>65</v>
      </c>
      <c r="I51" s="2" t="s">
        <v>66</v>
      </c>
      <c r="J51" s="2" t="s">
        <v>67</v>
      </c>
      <c r="K51" s="2" t="s">
        <v>68</v>
      </c>
      <c r="L51" s="2">
        <v>2</v>
      </c>
      <c r="M51" s="3">
        <v>1200</v>
      </c>
      <c r="N51" s="4">
        <v>20</v>
      </c>
      <c r="O51" s="23">
        <v>480</v>
      </c>
      <c r="P51" s="23">
        <v>0</v>
      </c>
      <c r="Q51" s="23">
        <v>1920</v>
      </c>
      <c r="R51" s="23">
        <f t="shared" si="1"/>
        <v>384</v>
      </c>
      <c r="S51" s="2" t="s">
        <v>86</v>
      </c>
      <c r="T51" s="12" t="s">
        <v>206</v>
      </c>
      <c r="U51" s="2"/>
    </row>
    <row r="52" spans="1:21" x14ac:dyDescent="0.45">
      <c r="A52" s="6" t="s">
        <v>207</v>
      </c>
      <c r="B52" s="21" t="s">
        <v>208</v>
      </c>
      <c r="C52" s="20">
        <f t="shared" si="0"/>
        <v>45503</v>
      </c>
      <c r="D52" s="6" t="s">
        <v>95</v>
      </c>
      <c r="E52" s="6" t="s">
        <v>96</v>
      </c>
      <c r="F52" s="6" t="s">
        <v>97</v>
      </c>
      <c r="G52" s="6" t="s">
        <v>25</v>
      </c>
      <c r="H52" s="6" t="s">
        <v>132</v>
      </c>
      <c r="I52" s="6" t="s">
        <v>133</v>
      </c>
      <c r="J52" s="6" t="s">
        <v>28</v>
      </c>
      <c r="K52" s="6" t="s">
        <v>134</v>
      </c>
      <c r="L52" s="6">
        <v>3</v>
      </c>
      <c r="M52" s="7">
        <v>1299</v>
      </c>
      <c r="N52" s="8">
        <v>20</v>
      </c>
      <c r="O52" s="24">
        <v>779.4</v>
      </c>
      <c r="P52" s="24">
        <v>10</v>
      </c>
      <c r="Q52" s="24">
        <v>3127.6</v>
      </c>
      <c r="R52" s="23">
        <f t="shared" si="1"/>
        <v>623.52</v>
      </c>
      <c r="S52" s="6" t="s">
        <v>86</v>
      </c>
      <c r="T52" s="11" t="s">
        <v>92</v>
      </c>
      <c r="U52" s="6"/>
    </row>
    <row r="53" spans="1:21" x14ac:dyDescent="0.45">
      <c r="A53" s="2" t="s">
        <v>209</v>
      </c>
      <c r="B53" s="20" t="s">
        <v>210</v>
      </c>
      <c r="C53" s="20">
        <f t="shared" si="0"/>
        <v>45428</v>
      </c>
      <c r="D53" s="2" t="s">
        <v>123</v>
      </c>
      <c r="E53" s="2" t="s">
        <v>124</v>
      </c>
      <c r="F53" s="2" t="s">
        <v>125</v>
      </c>
      <c r="G53" s="2" t="s">
        <v>25</v>
      </c>
      <c r="H53" s="2" t="s">
        <v>98</v>
      </c>
      <c r="I53" s="2" t="s">
        <v>99</v>
      </c>
      <c r="J53" s="2" t="s">
        <v>100</v>
      </c>
      <c r="K53" s="2" t="s">
        <v>101</v>
      </c>
      <c r="L53" s="2">
        <v>1</v>
      </c>
      <c r="M53" s="3">
        <v>18</v>
      </c>
      <c r="N53" s="4">
        <v>5</v>
      </c>
      <c r="O53" s="23">
        <v>0.9</v>
      </c>
      <c r="P53" s="23">
        <v>0</v>
      </c>
      <c r="Q53" s="23">
        <v>17.100000000000001</v>
      </c>
      <c r="R53" s="23">
        <f t="shared" si="1"/>
        <v>3.4200000000000004</v>
      </c>
      <c r="S53" s="2" t="s">
        <v>86</v>
      </c>
      <c r="T53" s="11" t="s">
        <v>92</v>
      </c>
      <c r="U53" s="2"/>
    </row>
    <row r="54" spans="1:21" x14ac:dyDescent="0.45">
      <c r="A54" s="6" t="s">
        <v>211</v>
      </c>
      <c r="B54" s="21" t="s">
        <v>212</v>
      </c>
      <c r="C54" s="20">
        <f t="shared" si="0"/>
        <v>45394</v>
      </c>
      <c r="D54" s="6" t="s">
        <v>104</v>
      </c>
      <c r="E54" s="6" t="s">
        <v>105</v>
      </c>
      <c r="F54" s="6" t="s">
        <v>106</v>
      </c>
      <c r="G54" s="6" t="s">
        <v>25</v>
      </c>
      <c r="H54" s="6" t="s">
        <v>56</v>
      </c>
      <c r="I54" s="6" t="s">
        <v>57</v>
      </c>
      <c r="J54" s="6" t="s">
        <v>58</v>
      </c>
      <c r="K54" s="6" t="s">
        <v>59</v>
      </c>
      <c r="L54" s="6">
        <v>3</v>
      </c>
      <c r="M54" s="7">
        <v>79</v>
      </c>
      <c r="N54" s="8">
        <v>20</v>
      </c>
      <c r="O54" s="24">
        <v>47.4</v>
      </c>
      <c r="P54" s="24">
        <v>0</v>
      </c>
      <c r="Q54" s="24">
        <v>189.6</v>
      </c>
      <c r="R54" s="23">
        <f t="shared" si="1"/>
        <v>37.92</v>
      </c>
      <c r="S54" s="6" t="s">
        <v>86</v>
      </c>
      <c r="T54" s="5" t="s">
        <v>31</v>
      </c>
      <c r="U54" s="6">
        <v>4</v>
      </c>
    </row>
    <row r="55" spans="1:21" x14ac:dyDescent="0.45">
      <c r="A55" s="2" t="s">
        <v>213</v>
      </c>
      <c r="B55" s="20" t="s">
        <v>214</v>
      </c>
      <c r="C55" s="20">
        <f t="shared" si="0"/>
        <v>45460</v>
      </c>
      <c r="D55" s="2" t="s">
        <v>83</v>
      </c>
      <c r="E55" s="2" t="s">
        <v>84</v>
      </c>
      <c r="F55" s="2" t="s">
        <v>85</v>
      </c>
      <c r="G55" s="2" t="s">
        <v>25</v>
      </c>
      <c r="H55" s="2" t="s">
        <v>195</v>
      </c>
      <c r="I55" s="2" t="s">
        <v>196</v>
      </c>
      <c r="J55" s="2" t="s">
        <v>67</v>
      </c>
      <c r="K55" s="2" t="s">
        <v>197</v>
      </c>
      <c r="L55" s="2">
        <v>1</v>
      </c>
      <c r="M55" s="3">
        <v>750</v>
      </c>
      <c r="N55" s="4">
        <v>20</v>
      </c>
      <c r="O55" s="23">
        <v>150</v>
      </c>
      <c r="P55" s="23">
        <v>5</v>
      </c>
      <c r="Q55" s="23">
        <v>605</v>
      </c>
      <c r="R55" s="23">
        <f t="shared" si="1"/>
        <v>120</v>
      </c>
      <c r="S55" s="2" t="s">
        <v>41</v>
      </c>
      <c r="T55" s="5" t="s">
        <v>31</v>
      </c>
      <c r="U55" s="2">
        <v>4</v>
      </c>
    </row>
    <row r="56" spans="1:21" x14ac:dyDescent="0.45">
      <c r="A56" s="6" t="s">
        <v>215</v>
      </c>
      <c r="B56" s="21" t="s">
        <v>216</v>
      </c>
      <c r="C56" s="20">
        <f t="shared" si="0"/>
        <v>45639</v>
      </c>
      <c r="D56" s="6" t="s">
        <v>44</v>
      </c>
      <c r="E56" s="6" t="s">
        <v>45</v>
      </c>
      <c r="F56" s="6" t="s">
        <v>46</v>
      </c>
      <c r="G56" s="6" t="s">
        <v>25</v>
      </c>
      <c r="H56" s="6" t="s">
        <v>56</v>
      </c>
      <c r="I56" s="6" t="s">
        <v>57</v>
      </c>
      <c r="J56" s="6" t="s">
        <v>58</v>
      </c>
      <c r="K56" s="6" t="s">
        <v>59</v>
      </c>
      <c r="L56" s="6">
        <v>1</v>
      </c>
      <c r="M56" s="7">
        <v>79</v>
      </c>
      <c r="N56" s="8">
        <v>0</v>
      </c>
      <c r="O56" s="24">
        <v>0</v>
      </c>
      <c r="P56" s="24">
        <v>5</v>
      </c>
      <c r="Q56" s="24">
        <v>84</v>
      </c>
      <c r="R56" s="23">
        <f t="shared" si="1"/>
        <v>15.8</v>
      </c>
      <c r="S56" s="6" t="s">
        <v>50</v>
      </c>
      <c r="T56" s="5" t="s">
        <v>31</v>
      </c>
      <c r="U56" s="6">
        <v>1</v>
      </c>
    </row>
    <row r="57" spans="1:21" x14ac:dyDescent="0.45">
      <c r="A57" s="2" t="s">
        <v>217</v>
      </c>
      <c r="B57" s="20" t="s">
        <v>218</v>
      </c>
      <c r="C57" s="20">
        <f t="shared" si="0"/>
        <v>45347</v>
      </c>
      <c r="D57" s="2" t="s">
        <v>34</v>
      </c>
      <c r="E57" s="2" t="s">
        <v>35</v>
      </c>
      <c r="F57" s="2" t="s">
        <v>36</v>
      </c>
      <c r="G57" s="2" t="s">
        <v>25</v>
      </c>
      <c r="H57" s="2" t="s">
        <v>37</v>
      </c>
      <c r="I57" s="2" t="s">
        <v>38</v>
      </c>
      <c r="J57" s="2" t="s">
        <v>39</v>
      </c>
      <c r="K57" s="2" t="s">
        <v>40</v>
      </c>
      <c r="L57" s="2">
        <v>3</v>
      </c>
      <c r="M57" s="3">
        <v>150</v>
      </c>
      <c r="N57" s="4">
        <v>15</v>
      </c>
      <c r="O57" s="23">
        <v>67.5</v>
      </c>
      <c r="P57" s="23">
        <v>5</v>
      </c>
      <c r="Q57" s="23">
        <v>387.5</v>
      </c>
      <c r="R57" s="23">
        <f t="shared" si="1"/>
        <v>76.5</v>
      </c>
      <c r="S57" s="2" t="s">
        <v>41</v>
      </c>
      <c r="T57" s="5" t="s">
        <v>31</v>
      </c>
      <c r="U57" s="2">
        <v>1</v>
      </c>
    </row>
    <row r="58" spans="1:21" x14ac:dyDescent="0.45">
      <c r="A58" s="6" t="s">
        <v>219</v>
      </c>
      <c r="B58" s="21" t="s">
        <v>220</v>
      </c>
      <c r="C58" s="20">
        <f t="shared" si="0"/>
        <v>45489</v>
      </c>
      <c r="D58" s="6" t="s">
        <v>34</v>
      </c>
      <c r="E58" s="6" t="s">
        <v>35</v>
      </c>
      <c r="F58" s="6" t="s">
        <v>36</v>
      </c>
      <c r="G58" s="6" t="s">
        <v>25</v>
      </c>
      <c r="H58" s="6" t="s">
        <v>47</v>
      </c>
      <c r="I58" s="6" t="s">
        <v>48</v>
      </c>
      <c r="J58" s="6" t="s">
        <v>28</v>
      </c>
      <c r="K58" s="6" t="s">
        <v>49</v>
      </c>
      <c r="L58" s="6">
        <v>3</v>
      </c>
      <c r="M58" s="7">
        <v>349</v>
      </c>
      <c r="N58" s="8">
        <v>0</v>
      </c>
      <c r="O58" s="24">
        <v>0</v>
      </c>
      <c r="P58" s="24">
        <v>10</v>
      </c>
      <c r="Q58" s="24">
        <v>1057</v>
      </c>
      <c r="R58" s="23">
        <f t="shared" si="1"/>
        <v>209.4</v>
      </c>
      <c r="S58" s="6" t="s">
        <v>41</v>
      </c>
      <c r="T58" s="5" t="s">
        <v>31</v>
      </c>
      <c r="U58" s="6">
        <v>2</v>
      </c>
    </row>
    <row r="59" spans="1:21" x14ac:dyDescent="0.45">
      <c r="A59" s="2" t="s">
        <v>221</v>
      </c>
      <c r="B59" s="20" t="s">
        <v>222</v>
      </c>
      <c r="C59" s="20">
        <f t="shared" si="0"/>
        <v>45478</v>
      </c>
      <c r="D59" s="2" t="s">
        <v>53</v>
      </c>
      <c r="E59" s="2" t="s">
        <v>54</v>
      </c>
      <c r="F59" s="2" t="s">
        <v>55</v>
      </c>
      <c r="G59" s="2" t="s">
        <v>25</v>
      </c>
      <c r="H59" s="2" t="s">
        <v>150</v>
      </c>
      <c r="I59" s="2" t="s">
        <v>151</v>
      </c>
      <c r="J59" s="2" t="s">
        <v>28</v>
      </c>
      <c r="K59" s="2" t="s">
        <v>68</v>
      </c>
      <c r="L59" s="2">
        <v>3</v>
      </c>
      <c r="M59" s="3">
        <v>849</v>
      </c>
      <c r="N59" s="4">
        <v>10</v>
      </c>
      <c r="O59" s="23">
        <v>254.7</v>
      </c>
      <c r="P59" s="23">
        <v>5</v>
      </c>
      <c r="Q59" s="23">
        <v>2297.3000000000002</v>
      </c>
      <c r="R59" s="23">
        <f t="shared" si="1"/>
        <v>458.46000000000004</v>
      </c>
      <c r="S59" s="2" t="s">
        <v>30</v>
      </c>
      <c r="T59" s="10" t="s">
        <v>78</v>
      </c>
      <c r="U59" s="2"/>
    </row>
    <row r="60" spans="1:21" x14ac:dyDescent="0.45">
      <c r="A60" s="6" t="s">
        <v>223</v>
      </c>
      <c r="B60" s="21" t="s">
        <v>224</v>
      </c>
      <c r="C60" s="20">
        <f t="shared" si="0"/>
        <v>45445</v>
      </c>
      <c r="D60" s="6" t="s">
        <v>44</v>
      </c>
      <c r="E60" s="6" t="s">
        <v>45</v>
      </c>
      <c r="F60" s="6" t="s">
        <v>46</v>
      </c>
      <c r="G60" s="6" t="s">
        <v>25</v>
      </c>
      <c r="H60" s="6" t="s">
        <v>89</v>
      </c>
      <c r="I60" s="6" t="s">
        <v>90</v>
      </c>
      <c r="J60" s="6" t="s">
        <v>58</v>
      </c>
      <c r="K60" s="6" t="s">
        <v>91</v>
      </c>
      <c r="L60" s="6">
        <v>4</v>
      </c>
      <c r="M60" s="7">
        <v>29</v>
      </c>
      <c r="N60" s="8">
        <v>0</v>
      </c>
      <c r="O60" s="24">
        <v>0</v>
      </c>
      <c r="P60" s="24">
        <v>10</v>
      </c>
      <c r="Q60" s="24">
        <v>126</v>
      </c>
      <c r="R60" s="23">
        <f t="shared" si="1"/>
        <v>23.200000000000003</v>
      </c>
      <c r="S60" s="6" t="s">
        <v>41</v>
      </c>
      <c r="T60" s="10" t="s">
        <v>78</v>
      </c>
      <c r="U60" s="6"/>
    </row>
    <row r="61" spans="1:21" x14ac:dyDescent="0.45">
      <c r="A61" s="2" t="s">
        <v>225</v>
      </c>
      <c r="B61" s="20" t="s">
        <v>226</v>
      </c>
      <c r="C61" s="20">
        <f t="shared" si="0"/>
        <v>45357</v>
      </c>
      <c r="D61" s="2" t="s">
        <v>71</v>
      </c>
      <c r="E61" s="2" t="s">
        <v>72</v>
      </c>
      <c r="F61" s="2" t="s">
        <v>73</v>
      </c>
      <c r="G61" s="2" t="s">
        <v>25</v>
      </c>
      <c r="H61" s="2" t="s">
        <v>37</v>
      </c>
      <c r="I61" s="2" t="s">
        <v>38</v>
      </c>
      <c r="J61" s="2" t="s">
        <v>39</v>
      </c>
      <c r="K61" s="2" t="s">
        <v>40</v>
      </c>
      <c r="L61" s="2">
        <v>4</v>
      </c>
      <c r="M61" s="3">
        <v>150</v>
      </c>
      <c r="N61" s="4">
        <v>15</v>
      </c>
      <c r="O61" s="23">
        <v>90</v>
      </c>
      <c r="P61" s="23">
        <v>0</v>
      </c>
      <c r="Q61" s="23">
        <v>510</v>
      </c>
      <c r="R61" s="23">
        <f t="shared" si="1"/>
        <v>102</v>
      </c>
      <c r="S61" s="2" t="s">
        <v>50</v>
      </c>
      <c r="T61" s="5" t="s">
        <v>31</v>
      </c>
      <c r="U61" s="2">
        <v>4</v>
      </c>
    </row>
    <row r="62" spans="1:21" x14ac:dyDescent="0.45">
      <c r="A62" s="6" t="s">
        <v>227</v>
      </c>
      <c r="B62" s="21" t="s">
        <v>228</v>
      </c>
      <c r="C62" s="20">
        <f t="shared" si="0"/>
        <v>45572</v>
      </c>
      <c r="D62" s="6" t="s">
        <v>95</v>
      </c>
      <c r="E62" s="6" t="s">
        <v>96</v>
      </c>
      <c r="F62" s="6" t="s">
        <v>97</v>
      </c>
      <c r="G62" s="6" t="s">
        <v>25</v>
      </c>
      <c r="H62" s="6" t="s">
        <v>89</v>
      </c>
      <c r="I62" s="6" t="s">
        <v>90</v>
      </c>
      <c r="J62" s="6" t="s">
        <v>58</v>
      </c>
      <c r="K62" s="6" t="s">
        <v>91</v>
      </c>
      <c r="L62" s="6">
        <v>3</v>
      </c>
      <c r="M62" s="7">
        <v>29</v>
      </c>
      <c r="N62" s="8">
        <v>0</v>
      </c>
      <c r="O62" s="24">
        <v>0</v>
      </c>
      <c r="P62" s="24">
        <v>10</v>
      </c>
      <c r="Q62" s="24">
        <v>97</v>
      </c>
      <c r="R62" s="23">
        <f t="shared" si="1"/>
        <v>17.400000000000002</v>
      </c>
      <c r="S62" s="6" t="s">
        <v>41</v>
      </c>
      <c r="T62" s="10" t="s">
        <v>78</v>
      </c>
      <c r="U62" s="6"/>
    </row>
    <row r="63" spans="1:21" x14ac:dyDescent="0.45">
      <c r="A63" s="2" t="s">
        <v>229</v>
      </c>
      <c r="B63" s="20" t="s">
        <v>230</v>
      </c>
      <c r="C63" s="20">
        <f t="shared" si="0"/>
        <v>45627</v>
      </c>
      <c r="D63" s="2" t="s">
        <v>137</v>
      </c>
      <c r="E63" s="2" t="s">
        <v>138</v>
      </c>
      <c r="F63" s="2" t="s">
        <v>139</v>
      </c>
      <c r="G63" s="2" t="s">
        <v>25</v>
      </c>
      <c r="H63" s="2" t="s">
        <v>140</v>
      </c>
      <c r="I63" s="2" t="s">
        <v>141</v>
      </c>
      <c r="J63" s="2" t="s">
        <v>39</v>
      </c>
      <c r="K63" s="2" t="s">
        <v>142</v>
      </c>
      <c r="L63" s="2">
        <v>4</v>
      </c>
      <c r="M63" s="3">
        <v>180</v>
      </c>
      <c r="N63" s="4">
        <v>5</v>
      </c>
      <c r="O63" s="23">
        <v>36</v>
      </c>
      <c r="P63" s="23">
        <v>0</v>
      </c>
      <c r="Q63" s="23">
        <v>684</v>
      </c>
      <c r="R63" s="23">
        <f t="shared" si="1"/>
        <v>136.80000000000001</v>
      </c>
      <c r="S63" s="2" t="s">
        <v>86</v>
      </c>
      <c r="T63" s="5" t="s">
        <v>31</v>
      </c>
      <c r="U63" s="2">
        <v>1</v>
      </c>
    </row>
    <row r="64" spans="1:21" x14ac:dyDescent="0.45">
      <c r="A64" s="6" t="s">
        <v>231</v>
      </c>
      <c r="B64" s="21" t="s">
        <v>232</v>
      </c>
      <c r="C64" s="20">
        <f t="shared" si="0"/>
        <v>45437</v>
      </c>
      <c r="D64" s="6" t="s">
        <v>44</v>
      </c>
      <c r="E64" s="6" t="s">
        <v>45</v>
      </c>
      <c r="F64" s="6" t="s">
        <v>46</v>
      </c>
      <c r="G64" s="6" t="s">
        <v>25</v>
      </c>
      <c r="H64" s="6" t="s">
        <v>115</v>
      </c>
      <c r="I64" s="6" t="s">
        <v>116</v>
      </c>
      <c r="J64" s="6" t="s">
        <v>117</v>
      </c>
      <c r="K64" s="6" t="s">
        <v>118</v>
      </c>
      <c r="L64" s="6">
        <v>5</v>
      </c>
      <c r="M64" s="7">
        <v>120</v>
      </c>
      <c r="N64" s="8">
        <v>0</v>
      </c>
      <c r="O64" s="24">
        <v>0</v>
      </c>
      <c r="P64" s="24">
        <v>0</v>
      </c>
      <c r="Q64" s="24">
        <v>600</v>
      </c>
      <c r="R64" s="23">
        <f t="shared" si="1"/>
        <v>120</v>
      </c>
      <c r="S64" s="6" t="s">
        <v>86</v>
      </c>
      <c r="T64" s="11" t="s">
        <v>92</v>
      </c>
      <c r="U64" s="6"/>
    </row>
    <row r="65" spans="1:21" x14ac:dyDescent="0.45">
      <c r="A65" s="2" t="s">
        <v>233</v>
      </c>
      <c r="B65" s="20" t="s">
        <v>234</v>
      </c>
      <c r="C65" s="20">
        <f t="shared" si="0"/>
        <v>45636</v>
      </c>
      <c r="D65" s="2" t="s">
        <v>83</v>
      </c>
      <c r="E65" s="2" t="s">
        <v>84</v>
      </c>
      <c r="F65" s="2" t="s">
        <v>85</v>
      </c>
      <c r="G65" s="2" t="s">
        <v>25</v>
      </c>
      <c r="H65" s="2" t="s">
        <v>47</v>
      </c>
      <c r="I65" s="2" t="s">
        <v>48</v>
      </c>
      <c r="J65" s="2" t="s">
        <v>28</v>
      </c>
      <c r="K65" s="2" t="s">
        <v>49</v>
      </c>
      <c r="L65" s="2">
        <v>2</v>
      </c>
      <c r="M65" s="3">
        <v>349</v>
      </c>
      <c r="N65" s="4">
        <v>0</v>
      </c>
      <c r="O65" s="23">
        <v>0</v>
      </c>
      <c r="P65" s="23">
        <v>0</v>
      </c>
      <c r="Q65" s="23">
        <v>698</v>
      </c>
      <c r="R65" s="23">
        <f t="shared" si="1"/>
        <v>139.6</v>
      </c>
      <c r="S65" s="2" t="s">
        <v>187</v>
      </c>
      <c r="T65" s="5" t="s">
        <v>31</v>
      </c>
      <c r="U65" s="2">
        <v>5</v>
      </c>
    </row>
    <row r="66" spans="1:21" x14ac:dyDescent="0.45">
      <c r="A66" s="6" t="s">
        <v>235</v>
      </c>
      <c r="B66" s="21" t="s">
        <v>236</v>
      </c>
      <c r="C66" s="20">
        <f t="shared" si="0"/>
        <v>45329</v>
      </c>
      <c r="D66" s="6" t="s">
        <v>104</v>
      </c>
      <c r="E66" s="6" t="s">
        <v>105</v>
      </c>
      <c r="F66" s="6" t="s">
        <v>106</v>
      </c>
      <c r="G66" s="6" t="s">
        <v>25</v>
      </c>
      <c r="H66" s="6" t="s">
        <v>37</v>
      </c>
      <c r="I66" s="6" t="s">
        <v>38</v>
      </c>
      <c r="J66" s="6" t="s">
        <v>39</v>
      </c>
      <c r="K66" s="6" t="s">
        <v>40</v>
      </c>
      <c r="L66" s="6">
        <v>5</v>
      </c>
      <c r="M66" s="7">
        <v>150</v>
      </c>
      <c r="N66" s="8">
        <v>0</v>
      </c>
      <c r="O66" s="24">
        <v>0</v>
      </c>
      <c r="P66" s="24">
        <v>10</v>
      </c>
      <c r="Q66" s="24">
        <v>760</v>
      </c>
      <c r="R66" s="23">
        <f t="shared" si="1"/>
        <v>150</v>
      </c>
      <c r="S66" s="6" t="s">
        <v>86</v>
      </c>
      <c r="T66" s="5" t="s">
        <v>31</v>
      </c>
      <c r="U66" s="6">
        <v>2</v>
      </c>
    </row>
    <row r="67" spans="1:21" x14ac:dyDescent="0.45">
      <c r="A67" s="2" t="s">
        <v>237</v>
      </c>
      <c r="B67" s="20" t="s">
        <v>230</v>
      </c>
      <c r="C67" s="20">
        <f t="shared" si="0"/>
        <v>45627</v>
      </c>
      <c r="D67" s="2" t="s">
        <v>95</v>
      </c>
      <c r="E67" s="2" t="s">
        <v>96</v>
      </c>
      <c r="F67" s="2" t="s">
        <v>97</v>
      </c>
      <c r="G67" s="2" t="s">
        <v>25</v>
      </c>
      <c r="H67" s="2" t="s">
        <v>65</v>
      </c>
      <c r="I67" s="2" t="s">
        <v>66</v>
      </c>
      <c r="J67" s="2" t="s">
        <v>67</v>
      </c>
      <c r="K67" s="2" t="s">
        <v>68</v>
      </c>
      <c r="L67" s="2">
        <v>1</v>
      </c>
      <c r="M67" s="3">
        <v>1200</v>
      </c>
      <c r="N67" s="4">
        <v>20</v>
      </c>
      <c r="O67" s="23">
        <v>240</v>
      </c>
      <c r="P67" s="23">
        <v>10</v>
      </c>
      <c r="Q67" s="23">
        <v>970</v>
      </c>
      <c r="R67" s="23">
        <f t="shared" si="1"/>
        <v>192</v>
      </c>
      <c r="S67" s="2" t="s">
        <v>41</v>
      </c>
      <c r="T67" s="5" t="s">
        <v>31</v>
      </c>
      <c r="U67" s="2">
        <v>4</v>
      </c>
    </row>
    <row r="68" spans="1:21" x14ac:dyDescent="0.45">
      <c r="A68" s="6" t="s">
        <v>238</v>
      </c>
      <c r="B68" s="21" t="s">
        <v>239</v>
      </c>
      <c r="C68" s="20">
        <f t="shared" ref="C68:C131" si="2">DATEVALUE(B68)</f>
        <v>45317</v>
      </c>
      <c r="D68" s="6" t="s">
        <v>44</v>
      </c>
      <c r="E68" s="6" t="s">
        <v>45</v>
      </c>
      <c r="F68" s="6" t="s">
        <v>46</v>
      </c>
      <c r="G68" s="6" t="s">
        <v>25</v>
      </c>
      <c r="H68" s="6" t="s">
        <v>47</v>
      </c>
      <c r="I68" s="6" t="s">
        <v>48</v>
      </c>
      <c r="J68" s="6" t="s">
        <v>28</v>
      </c>
      <c r="K68" s="6" t="s">
        <v>49</v>
      </c>
      <c r="L68" s="6">
        <v>1</v>
      </c>
      <c r="M68" s="7">
        <v>349</v>
      </c>
      <c r="N68" s="8">
        <v>5</v>
      </c>
      <c r="O68" s="24">
        <v>17.45</v>
      </c>
      <c r="P68" s="24">
        <v>0</v>
      </c>
      <c r="Q68" s="24">
        <v>331.55</v>
      </c>
      <c r="R68" s="23">
        <f t="shared" ref="R68:R131" si="3">(Q68-P68) * 0.2</f>
        <v>66.31</v>
      </c>
      <c r="S68" s="6" t="s">
        <v>41</v>
      </c>
      <c r="T68" s="11" t="s">
        <v>92</v>
      </c>
      <c r="U68" s="6"/>
    </row>
    <row r="69" spans="1:21" x14ac:dyDescent="0.45">
      <c r="A69" s="2" t="s">
        <v>240</v>
      </c>
      <c r="B69" s="20" t="s">
        <v>241</v>
      </c>
      <c r="C69" s="20">
        <f t="shared" si="2"/>
        <v>45578</v>
      </c>
      <c r="D69" s="2" t="s">
        <v>34</v>
      </c>
      <c r="E69" s="2" t="s">
        <v>35</v>
      </c>
      <c r="F69" s="2" t="s">
        <v>36</v>
      </c>
      <c r="G69" s="2" t="s">
        <v>25</v>
      </c>
      <c r="H69" s="2" t="s">
        <v>56</v>
      </c>
      <c r="I69" s="2" t="s">
        <v>57</v>
      </c>
      <c r="J69" s="2" t="s">
        <v>58</v>
      </c>
      <c r="K69" s="2" t="s">
        <v>59</v>
      </c>
      <c r="L69" s="2">
        <v>4</v>
      </c>
      <c r="M69" s="3">
        <v>79</v>
      </c>
      <c r="N69" s="4">
        <v>10</v>
      </c>
      <c r="O69" s="23">
        <v>31.6</v>
      </c>
      <c r="P69" s="23">
        <v>15</v>
      </c>
      <c r="Q69" s="23">
        <v>299.39999999999998</v>
      </c>
      <c r="R69" s="23">
        <f t="shared" si="3"/>
        <v>56.879999999999995</v>
      </c>
      <c r="S69" s="2" t="s">
        <v>41</v>
      </c>
      <c r="T69" s="5" t="s">
        <v>31</v>
      </c>
      <c r="U69" s="2">
        <v>4</v>
      </c>
    </row>
    <row r="70" spans="1:21" x14ac:dyDescent="0.45">
      <c r="A70" s="6" t="s">
        <v>242</v>
      </c>
      <c r="B70" s="21" t="s">
        <v>52</v>
      </c>
      <c r="C70" s="20">
        <f t="shared" si="2"/>
        <v>45373</v>
      </c>
      <c r="D70" s="6" t="s">
        <v>104</v>
      </c>
      <c r="E70" s="6" t="s">
        <v>105</v>
      </c>
      <c r="F70" s="6" t="s">
        <v>106</v>
      </c>
      <c r="G70" s="6" t="s">
        <v>25</v>
      </c>
      <c r="H70" s="6" t="s">
        <v>140</v>
      </c>
      <c r="I70" s="6" t="s">
        <v>141</v>
      </c>
      <c r="J70" s="6" t="s">
        <v>39</v>
      </c>
      <c r="K70" s="6" t="s">
        <v>142</v>
      </c>
      <c r="L70" s="6">
        <v>3</v>
      </c>
      <c r="M70" s="7">
        <v>180</v>
      </c>
      <c r="N70" s="8">
        <v>20</v>
      </c>
      <c r="O70" s="24">
        <v>108</v>
      </c>
      <c r="P70" s="24">
        <v>0</v>
      </c>
      <c r="Q70" s="24">
        <v>432</v>
      </c>
      <c r="R70" s="23">
        <f t="shared" si="3"/>
        <v>86.4</v>
      </c>
      <c r="S70" s="6" t="s">
        <v>50</v>
      </c>
      <c r="T70" s="11" t="s">
        <v>92</v>
      </c>
      <c r="U70" s="6"/>
    </row>
    <row r="71" spans="1:21" x14ac:dyDescent="0.45">
      <c r="A71" s="2" t="s">
        <v>243</v>
      </c>
      <c r="B71" s="20" t="s">
        <v>244</v>
      </c>
      <c r="C71" s="20">
        <f t="shared" si="2"/>
        <v>45558</v>
      </c>
      <c r="D71" s="2" t="s">
        <v>104</v>
      </c>
      <c r="E71" s="2" t="s">
        <v>105</v>
      </c>
      <c r="F71" s="2" t="s">
        <v>106</v>
      </c>
      <c r="G71" s="2" t="s">
        <v>25</v>
      </c>
      <c r="H71" s="2" t="s">
        <v>115</v>
      </c>
      <c r="I71" s="2" t="s">
        <v>116</v>
      </c>
      <c r="J71" s="2" t="s">
        <v>117</v>
      </c>
      <c r="K71" s="2" t="s">
        <v>118</v>
      </c>
      <c r="L71" s="2">
        <v>2</v>
      </c>
      <c r="M71" s="3">
        <v>120</v>
      </c>
      <c r="N71" s="4">
        <v>0</v>
      </c>
      <c r="O71" s="23">
        <v>0</v>
      </c>
      <c r="P71" s="23">
        <v>10</v>
      </c>
      <c r="Q71" s="23">
        <v>250</v>
      </c>
      <c r="R71" s="23">
        <f t="shared" si="3"/>
        <v>48</v>
      </c>
      <c r="S71" s="2" t="s">
        <v>50</v>
      </c>
      <c r="T71" s="5" t="s">
        <v>31</v>
      </c>
      <c r="U71" s="2">
        <v>2</v>
      </c>
    </row>
    <row r="72" spans="1:21" x14ac:dyDescent="0.45">
      <c r="A72" s="6" t="s">
        <v>245</v>
      </c>
      <c r="B72" s="21" t="s">
        <v>246</v>
      </c>
      <c r="C72" s="20">
        <f t="shared" si="2"/>
        <v>45431</v>
      </c>
      <c r="D72" s="6" t="s">
        <v>137</v>
      </c>
      <c r="E72" s="6" t="s">
        <v>138</v>
      </c>
      <c r="F72" s="6" t="s">
        <v>139</v>
      </c>
      <c r="G72" s="6" t="s">
        <v>25</v>
      </c>
      <c r="H72" s="6" t="s">
        <v>56</v>
      </c>
      <c r="I72" s="6" t="s">
        <v>57</v>
      </c>
      <c r="J72" s="6" t="s">
        <v>58</v>
      </c>
      <c r="K72" s="6" t="s">
        <v>59</v>
      </c>
      <c r="L72" s="6">
        <v>5</v>
      </c>
      <c r="M72" s="7">
        <v>79</v>
      </c>
      <c r="N72" s="8">
        <v>0</v>
      </c>
      <c r="O72" s="24">
        <v>0</v>
      </c>
      <c r="P72" s="24">
        <v>0</v>
      </c>
      <c r="Q72" s="24">
        <v>395</v>
      </c>
      <c r="R72" s="23">
        <f t="shared" si="3"/>
        <v>79</v>
      </c>
      <c r="S72" s="6" t="s">
        <v>187</v>
      </c>
      <c r="T72" s="5" t="s">
        <v>31</v>
      </c>
      <c r="U72" s="6">
        <v>2</v>
      </c>
    </row>
    <row r="73" spans="1:21" x14ac:dyDescent="0.45">
      <c r="A73" s="2" t="s">
        <v>247</v>
      </c>
      <c r="B73" s="20" t="s">
        <v>248</v>
      </c>
      <c r="C73" s="20">
        <f t="shared" si="2"/>
        <v>45653</v>
      </c>
      <c r="D73" s="2" t="s">
        <v>71</v>
      </c>
      <c r="E73" s="2" t="s">
        <v>72</v>
      </c>
      <c r="F73" s="2" t="s">
        <v>73</v>
      </c>
      <c r="G73" s="2" t="s">
        <v>25</v>
      </c>
      <c r="H73" s="2" t="s">
        <v>150</v>
      </c>
      <c r="I73" s="2" t="s">
        <v>151</v>
      </c>
      <c r="J73" s="2" t="s">
        <v>28</v>
      </c>
      <c r="K73" s="2" t="s">
        <v>68</v>
      </c>
      <c r="L73" s="2">
        <v>4</v>
      </c>
      <c r="M73" s="3">
        <v>849</v>
      </c>
      <c r="N73" s="4">
        <v>5</v>
      </c>
      <c r="O73" s="23">
        <v>169.8</v>
      </c>
      <c r="P73" s="23">
        <v>5</v>
      </c>
      <c r="Q73" s="23">
        <v>3231.2</v>
      </c>
      <c r="R73" s="23">
        <f t="shared" si="3"/>
        <v>645.24</v>
      </c>
      <c r="S73" s="2" t="s">
        <v>187</v>
      </c>
      <c r="T73" s="5" t="s">
        <v>31</v>
      </c>
      <c r="U73" s="2">
        <v>1</v>
      </c>
    </row>
    <row r="74" spans="1:21" x14ac:dyDescent="0.45">
      <c r="A74" s="6" t="s">
        <v>249</v>
      </c>
      <c r="B74" s="21" t="s">
        <v>250</v>
      </c>
      <c r="C74" s="20">
        <f t="shared" si="2"/>
        <v>45397</v>
      </c>
      <c r="D74" s="6" t="s">
        <v>53</v>
      </c>
      <c r="E74" s="6" t="s">
        <v>54</v>
      </c>
      <c r="F74" s="6" t="s">
        <v>55</v>
      </c>
      <c r="G74" s="6" t="s">
        <v>25</v>
      </c>
      <c r="H74" s="6" t="s">
        <v>37</v>
      </c>
      <c r="I74" s="6" t="s">
        <v>38</v>
      </c>
      <c r="J74" s="6" t="s">
        <v>39</v>
      </c>
      <c r="K74" s="6" t="s">
        <v>40</v>
      </c>
      <c r="L74" s="6">
        <v>5</v>
      </c>
      <c r="M74" s="7">
        <v>150</v>
      </c>
      <c r="N74" s="8">
        <v>15</v>
      </c>
      <c r="O74" s="24">
        <v>112.5</v>
      </c>
      <c r="P74" s="24">
        <v>0</v>
      </c>
      <c r="Q74" s="24">
        <v>637.5</v>
      </c>
      <c r="R74" s="23">
        <f t="shared" si="3"/>
        <v>127.5</v>
      </c>
      <c r="S74" s="6" t="s">
        <v>41</v>
      </c>
      <c r="T74" s="11" t="s">
        <v>92</v>
      </c>
      <c r="U74" s="6"/>
    </row>
    <row r="75" spans="1:21" x14ac:dyDescent="0.45">
      <c r="A75" s="2" t="s">
        <v>251</v>
      </c>
      <c r="B75" s="20" t="s">
        <v>167</v>
      </c>
      <c r="C75" s="20">
        <f t="shared" si="2"/>
        <v>45486</v>
      </c>
      <c r="D75" s="2" t="s">
        <v>104</v>
      </c>
      <c r="E75" s="2" t="s">
        <v>105</v>
      </c>
      <c r="F75" s="2" t="s">
        <v>106</v>
      </c>
      <c r="G75" s="2" t="s">
        <v>25</v>
      </c>
      <c r="H75" s="2" t="s">
        <v>26</v>
      </c>
      <c r="I75" s="2" t="s">
        <v>27</v>
      </c>
      <c r="J75" s="2" t="s">
        <v>28</v>
      </c>
      <c r="K75" s="2" t="s">
        <v>29</v>
      </c>
      <c r="L75" s="2">
        <v>3</v>
      </c>
      <c r="M75" s="3">
        <v>999</v>
      </c>
      <c r="N75" s="4">
        <v>0</v>
      </c>
      <c r="O75" s="23">
        <v>0</v>
      </c>
      <c r="P75" s="23">
        <v>10</v>
      </c>
      <c r="Q75" s="23">
        <v>3007</v>
      </c>
      <c r="R75" s="23">
        <f t="shared" si="3"/>
        <v>599.4</v>
      </c>
      <c r="S75" s="2" t="s">
        <v>187</v>
      </c>
      <c r="T75" s="11" t="s">
        <v>92</v>
      </c>
      <c r="U75" s="2"/>
    </row>
    <row r="76" spans="1:21" x14ac:dyDescent="0.45">
      <c r="A76" s="6" t="s">
        <v>252</v>
      </c>
      <c r="B76" s="21" t="s">
        <v>253</v>
      </c>
      <c r="C76" s="20">
        <f t="shared" si="2"/>
        <v>45567</v>
      </c>
      <c r="D76" s="6" t="s">
        <v>44</v>
      </c>
      <c r="E76" s="6" t="s">
        <v>45</v>
      </c>
      <c r="F76" s="6" t="s">
        <v>46</v>
      </c>
      <c r="G76" s="6" t="s">
        <v>25</v>
      </c>
      <c r="H76" s="6" t="s">
        <v>98</v>
      </c>
      <c r="I76" s="6" t="s">
        <v>99</v>
      </c>
      <c r="J76" s="6" t="s">
        <v>100</v>
      </c>
      <c r="K76" s="6" t="s">
        <v>101</v>
      </c>
      <c r="L76" s="6">
        <v>5</v>
      </c>
      <c r="M76" s="7">
        <v>18</v>
      </c>
      <c r="N76" s="8">
        <v>0</v>
      </c>
      <c r="O76" s="24">
        <v>0</v>
      </c>
      <c r="P76" s="24">
        <v>10</v>
      </c>
      <c r="Q76" s="24">
        <v>100</v>
      </c>
      <c r="R76" s="23">
        <f t="shared" si="3"/>
        <v>18</v>
      </c>
      <c r="S76" s="6" t="s">
        <v>187</v>
      </c>
      <c r="T76" s="5" t="s">
        <v>31</v>
      </c>
      <c r="U76" s="6">
        <v>4</v>
      </c>
    </row>
    <row r="77" spans="1:21" x14ac:dyDescent="0.45">
      <c r="A77" s="2" t="s">
        <v>254</v>
      </c>
      <c r="B77" s="20" t="s">
        <v>255</v>
      </c>
      <c r="C77" s="20">
        <f t="shared" si="2"/>
        <v>45306</v>
      </c>
      <c r="D77" s="2" t="s">
        <v>53</v>
      </c>
      <c r="E77" s="2" t="s">
        <v>54</v>
      </c>
      <c r="F77" s="2" t="s">
        <v>55</v>
      </c>
      <c r="G77" s="2" t="s">
        <v>25</v>
      </c>
      <c r="H77" s="2" t="s">
        <v>56</v>
      </c>
      <c r="I77" s="2" t="s">
        <v>57</v>
      </c>
      <c r="J77" s="2" t="s">
        <v>58</v>
      </c>
      <c r="K77" s="2" t="s">
        <v>59</v>
      </c>
      <c r="L77" s="2">
        <v>4</v>
      </c>
      <c r="M77" s="3">
        <v>79</v>
      </c>
      <c r="N77" s="4">
        <v>15</v>
      </c>
      <c r="O77" s="23">
        <v>47.4</v>
      </c>
      <c r="P77" s="23">
        <v>0</v>
      </c>
      <c r="Q77" s="23">
        <v>268.60000000000002</v>
      </c>
      <c r="R77" s="23">
        <f t="shared" si="3"/>
        <v>53.720000000000006</v>
      </c>
      <c r="S77" s="2" t="s">
        <v>86</v>
      </c>
      <c r="T77" s="11" t="s">
        <v>92</v>
      </c>
      <c r="U77" s="2"/>
    </row>
    <row r="78" spans="1:21" x14ac:dyDescent="0.45">
      <c r="A78" s="6" t="s">
        <v>256</v>
      </c>
      <c r="B78" s="21" t="s">
        <v>257</v>
      </c>
      <c r="C78" s="20">
        <f t="shared" si="2"/>
        <v>45610</v>
      </c>
      <c r="D78" s="6" t="s">
        <v>44</v>
      </c>
      <c r="E78" s="6" t="s">
        <v>45</v>
      </c>
      <c r="F78" s="6" t="s">
        <v>46</v>
      </c>
      <c r="G78" s="6" t="s">
        <v>25</v>
      </c>
      <c r="H78" s="6" t="s">
        <v>26</v>
      </c>
      <c r="I78" s="6" t="s">
        <v>27</v>
      </c>
      <c r="J78" s="6" t="s">
        <v>28</v>
      </c>
      <c r="K78" s="6" t="s">
        <v>29</v>
      </c>
      <c r="L78" s="6">
        <v>4</v>
      </c>
      <c r="M78" s="7">
        <v>999</v>
      </c>
      <c r="N78" s="8">
        <v>10</v>
      </c>
      <c r="O78" s="24">
        <v>399.6</v>
      </c>
      <c r="P78" s="24">
        <v>15</v>
      </c>
      <c r="Q78" s="24">
        <v>3611.4</v>
      </c>
      <c r="R78" s="23">
        <f t="shared" si="3"/>
        <v>719.28000000000009</v>
      </c>
      <c r="S78" s="6" t="s">
        <v>30</v>
      </c>
      <c r="T78" s="10" t="s">
        <v>78</v>
      </c>
      <c r="U78" s="6"/>
    </row>
    <row r="79" spans="1:21" x14ac:dyDescent="0.45">
      <c r="A79" s="2" t="s">
        <v>258</v>
      </c>
      <c r="B79" s="20" t="s">
        <v>259</v>
      </c>
      <c r="C79" s="20">
        <f t="shared" si="2"/>
        <v>45621</v>
      </c>
      <c r="D79" s="2" t="s">
        <v>53</v>
      </c>
      <c r="E79" s="2" t="s">
        <v>54</v>
      </c>
      <c r="F79" s="2" t="s">
        <v>55</v>
      </c>
      <c r="G79" s="2" t="s">
        <v>25</v>
      </c>
      <c r="H79" s="2" t="s">
        <v>132</v>
      </c>
      <c r="I79" s="2" t="s">
        <v>133</v>
      </c>
      <c r="J79" s="2" t="s">
        <v>28</v>
      </c>
      <c r="K79" s="2" t="s">
        <v>134</v>
      </c>
      <c r="L79" s="2">
        <v>4</v>
      </c>
      <c r="M79" s="3">
        <v>1299</v>
      </c>
      <c r="N79" s="4">
        <v>0</v>
      </c>
      <c r="O79" s="23">
        <v>0</v>
      </c>
      <c r="P79" s="23">
        <v>0</v>
      </c>
      <c r="Q79" s="23">
        <v>5196</v>
      </c>
      <c r="R79" s="23">
        <f t="shared" si="3"/>
        <v>1039.2</v>
      </c>
      <c r="S79" s="2" t="s">
        <v>50</v>
      </c>
      <c r="T79" s="5" t="s">
        <v>31</v>
      </c>
      <c r="U79" s="2">
        <v>2</v>
      </c>
    </row>
    <row r="80" spans="1:21" x14ac:dyDescent="0.45">
      <c r="A80" s="6" t="s">
        <v>260</v>
      </c>
      <c r="B80" s="21" t="s">
        <v>261</v>
      </c>
      <c r="C80" s="20">
        <f t="shared" si="2"/>
        <v>45524</v>
      </c>
      <c r="D80" s="6" t="s">
        <v>137</v>
      </c>
      <c r="E80" s="6" t="s">
        <v>138</v>
      </c>
      <c r="F80" s="6" t="s">
        <v>139</v>
      </c>
      <c r="G80" s="6" t="s">
        <v>25</v>
      </c>
      <c r="H80" s="6" t="s">
        <v>56</v>
      </c>
      <c r="I80" s="6" t="s">
        <v>57</v>
      </c>
      <c r="J80" s="6" t="s">
        <v>58</v>
      </c>
      <c r="K80" s="6" t="s">
        <v>59</v>
      </c>
      <c r="L80" s="6">
        <v>4</v>
      </c>
      <c r="M80" s="7">
        <v>79</v>
      </c>
      <c r="N80" s="8">
        <v>0</v>
      </c>
      <c r="O80" s="24">
        <v>0</v>
      </c>
      <c r="P80" s="24">
        <v>10</v>
      </c>
      <c r="Q80" s="24">
        <v>326</v>
      </c>
      <c r="R80" s="23">
        <f t="shared" si="3"/>
        <v>63.2</v>
      </c>
      <c r="S80" s="6" t="s">
        <v>30</v>
      </c>
      <c r="T80" s="5" t="s">
        <v>31</v>
      </c>
      <c r="U80" s="6">
        <v>4</v>
      </c>
    </row>
    <row r="81" spans="1:21" x14ac:dyDescent="0.45">
      <c r="A81" s="2" t="s">
        <v>262</v>
      </c>
      <c r="B81" s="20" t="s">
        <v>263</v>
      </c>
      <c r="C81" s="20">
        <f t="shared" si="2"/>
        <v>45301</v>
      </c>
      <c r="D81" s="2" t="s">
        <v>44</v>
      </c>
      <c r="E81" s="2" t="s">
        <v>45</v>
      </c>
      <c r="F81" s="2" t="s">
        <v>46</v>
      </c>
      <c r="G81" s="2" t="s">
        <v>25</v>
      </c>
      <c r="H81" s="2" t="s">
        <v>26</v>
      </c>
      <c r="I81" s="2" t="s">
        <v>27</v>
      </c>
      <c r="J81" s="2" t="s">
        <v>28</v>
      </c>
      <c r="K81" s="2" t="s">
        <v>29</v>
      </c>
      <c r="L81" s="2">
        <v>3</v>
      </c>
      <c r="M81" s="3">
        <v>999</v>
      </c>
      <c r="N81" s="4">
        <v>0</v>
      </c>
      <c r="O81" s="23">
        <v>0</v>
      </c>
      <c r="P81" s="23">
        <v>0</v>
      </c>
      <c r="Q81" s="23">
        <v>2997</v>
      </c>
      <c r="R81" s="23">
        <f t="shared" si="3"/>
        <v>599.4</v>
      </c>
      <c r="S81" s="2" t="s">
        <v>30</v>
      </c>
      <c r="T81" s="10" t="s">
        <v>78</v>
      </c>
      <c r="U81" s="2"/>
    </row>
    <row r="82" spans="1:21" x14ac:dyDescent="0.45">
      <c r="A82" s="6" t="s">
        <v>264</v>
      </c>
      <c r="B82" s="21" t="s">
        <v>265</v>
      </c>
      <c r="C82" s="20">
        <f t="shared" si="2"/>
        <v>45307</v>
      </c>
      <c r="D82" s="6" t="s">
        <v>71</v>
      </c>
      <c r="E82" s="6" t="s">
        <v>72</v>
      </c>
      <c r="F82" s="6" t="s">
        <v>73</v>
      </c>
      <c r="G82" s="6" t="s">
        <v>25</v>
      </c>
      <c r="H82" s="6" t="s">
        <v>47</v>
      </c>
      <c r="I82" s="6" t="s">
        <v>48</v>
      </c>
      <c r="J82" s="6" t="s">
        <v>28</v>
      </c>
      <c r="K82" s="6" t="s">
        <v>49</v>
      </c>
      <c r="L82" s="6">
        <v>1</v>
      </c>
      <c r="M82" s="7">
        <v>349</v>
      </c>
      <c r="N82" s="8">
        <v>10</v>
      </c>
      <c r="O82" s="24">
        <v>34.9</v>
      </c>
      <c r="P82" s="24">
        <v>0</v>
      </c>
      <c r="Q82" s="24">
        <v>314.10000000000002</v>
      </c>
      <c r="R82" s="23">
        <f t="shared" si="3"/>
        <v>62.820000000000007</v>
      </c>
      <c r="S82" s="6" t="s">
        <v>187</v>
      </c>
      <c r="T82" s="5" t="s">
        <v>31</v>
      </c>
      <c r="U82" s="6">
        <v>1</v>
      </c>
    </row>
    <row r="83" spans="1:21" x14ac:dyDescent="0.45">
      <c r="A83" s="2" t="s">
        <v>266</v>
      </c>
      <c r="B83" s="20" t="s">
        <v>267</v>
      </c>
      <c r="C83" s="20">
        <f t="shared" si="2"/>
        <v>45580</v>
      </c>
      <c r="D83" s="2" t="s">
        <v>71</v>
      </c>
      <c r="E83" s="2" t="s">
        <v>72</v>
      </c>
      <c r="F83" s="2" t="s">
        <v>73</v>
      </c>
      <c r="G83" s="2" t="s">
        <v>25</v>
      </c>
      <c r="H83" s="2" t="s">
        <v>140</v>
      </c>
      <c r="I83" s="2" t="s">
        <v>141</v>
      </c>
      <c r="J83" s="2" t="s">
        <v>39</v>
      </c>
      <c r="K83" s="2" t="s">
        <v>142</v>
      </c>
      <c r="L83" s="2">
        <v>3</v>
      </c>
      <c r="M83" s="3">
        <v>180</v>
      </c>
      <c r="N83" s="4">
        <v>20</v>
      </c>
      <c r="O83" s="23">
        <v>108</v>
      </c>
      <c r="P83" s="23">
        <v>5</v>
      </c>
      <c r="Q83" s="23">
        <v>437</v>
      </c>
      <c r="R83" s="23">
        <f t="shared" si="3"/>
        <v>86.4</v>
      </c>
      <c r="S83" s="2" t="s">
        <v>41</v>
      </c>
      <c r="T83" s="5" t="s">
        <v>31</v>
      </c>
      <c r="U83" s="2">
        <v>1</v>
      </c>
    </row>
    <row r="84" spans="1:21" x14ac:dyDescent="0.45">
      <c r="A84" s="6" t="s">
        <v>268</v>
      </c>
      <c r="B84" s="21" t="s">
        <v>269</v>
      </c>
      <c r="C84" s="20">
        <f t="shared" si="2"/>
        <v>45375</v>
      </c>
      <c r="D84" s="6" t="s">
        <v>83</v>
      </c>
      <c r="E84" s="6" t="s">
        <v>84</v>
      </c>
      <c r="F84" s="6" t="s">
        <v>85</v>
      </c>
      <c r="G84" s="6" t="s">
        <v>25</v>
      </c>
      <c r="H84" s="6" t="s">
        <v>150</v>
      </c>
      <c r="I84" s="6" t="s">
        <v>151</v>
      </c>
      <c r="J84" s="6" t="s">
        <v>28</v>
      </c>
      <c r="K84" s="6" t="s">
        <v>68</v>
      </c>
      <c r="L84" s="6">
        <v>5</v>
      </c>
      <c r="M84" s="7">
        <v>849</v>
      </c>
      <c r="N84" s="8">
        <v>0</v>
      </c>
      <c r="O84" s="24">
        <v>0</v>
      </c>
      <c r="P84" s="24">
        <v>5</v>
      </c>
      <c r="Q84" s="24">
        <v>4250</v>
      </c>
      <c r="R84" s="23">
        <f t="shared" si="3"/>
        <v>849</v>
      </c>
      <c r="S84" s="6" t="s">
        <v>187</v>
      </c>
      <c r="T84" s="5" t="s">
        <v>31</v>
      </c>
      <c r="U84" s="6">
        <v>4</v>
      </c>
    </row>
    <row r="85" spans="1:21" x14ac:dyDescent="0.45">
      <c r="A85" s="2" t="s">
        <v>270</v>
      </c>
      <c r="B85" s="20" t="s">
        <v>271</v>
      </c>
      <c r="C85" s="20">
        <f t="shared" si="2"/>
        <v>45393</v>
      </c>
      <c r="D85" s="2" t="s">
        <v>22</v>
      </c>
      <c r="E85" s="2" t="s">
        <v>23</v>
      </c>
      <c r="F85" s="2" t="s">
        <v>24</v>
      </c>
      <c r="G85" s="2" t="s">
        <v>25</v>
      </c>
      <c r="H85" s="2" t="s">
        <v>178</v>
      </c>
      <c r="I85" s="2" t="s">
        <v>179</v>
      </c>
      <c r="J85" s="2" t="s">
        <v>128</v>
      </c>
      <c r="K85" s="2" t="s">
        <v>180</v>
      </c>
      <c r="L85" s="2">
        <v>2</v>
      </c>
      <c r="M85" s="3">
        <v>28</v>
      </c>
      <c r="N85" s="4">
        <v>0</v>
      </c>
      <c r="O85" s="23">
        <v>0</v>
      </c>
      <c r="P85" s="23">
        <v>5</v>
      </c>
      <c r="Q85" s="23">
        <v>61</v>
      </c>
      <c r="R85" s="23">
        <f t="shared" si="3"/>
        <v>11.200000000000001</v>
      </c>
      <c r="S85" s="2" t="s">
        <v>41</v>
      </c>
      <c r="T85" s="11" t="s">
        <v>92</v>
      </c>
      <c r="U85" s="2"/>
    </row>
    <row r="86" spans="1:21" x14ac:dyDescent="0.45">
      <c r="A86" s="6" t="s">
        <v>272</v>
      </c>
      <c r="B86" s="21" t="s">
        <v>273</v>
      </c>
      <c r="C86" s="20">
        <f t="shared" si="2"/>
        <v>45353</v>
      </c>
      <c r="D86" s="6" t="s">
        <v>34</v>
      </c>
      <c r="E86" s="6" t="s">
        <v>35</v>
      </c>
      <c r="F86" s="6" t="s">
        <v>36</v>
      </c>
      <c r="G86" s="6" t="s">
        <v>25</v>
      </c>
      <c r="H86" s="6" t="s">
        <v>98</v>
      </c>
      <c r="I86" s="6" t="s">
        <v>99</v>
      </c>
      <c r="J86" s="6" t="s">
        <v>100</v>
      </c>
      <c r="K86" s="6" t="s">
        <v>101</v>
      </c>
      <c r="L86" s="6">
        <v>1</v>
      </c>
      <c r="M86" s="7">
        <v>18</v>
      </c>
      <c r="N86" s="8">
        <v>0</v>
      </c>
      <c r="O86" s="24">
        <v>0</v>
      </c>
      <c r="P86" s="24">
        <v>15</v>
      </c>
      <c r="Q86" s="24">
        <v>33</v>
      </c>
      <c r="R86" s="23">
        <f t="shared" si="3"/>
        <v>3.6</v>
      </c>
      <c r="S86" s="6" t="s">
        <v>50</v>
      </c>
      <c r="T86" s="5" t="s">
        <v>31</v>
      </c>
      <c r="U86" s="6">
        <v>1</v>
      </c>
    </row>
    <row r="87" spans="1:21" x14ac:dyDescent="0.45">
      <c r="A87" s="2" t="s">
        <v>274</v>
      </c>
      <c r="B87" s="20" t="s">
        <v>275</v>
      </c>
      <c r="C87" s="20">
        <f t="shared" si="2"/>
        <v>45551</v>
      </c>
      <c r="D87" s="2" t="s">
        <v>137</v>
      </c>
      <c r="E87" s="2" t="s">
        <v>138</v>
      </c>
      <c r="F87" s="2" t="s">
        <v>139</v>
      </c>
      <c r="G87" s="2" t="s">
        <v>25</v>
      </c>
      <c r="H87" s="2" t="s">
        <v>26</v>
      </c>
      <c r="I87" s="2" t="s">
        <v>27</v>
      </c>
      <c r="J87" s="2" t="s">
        <v>28</v>
      </c>
      <c r="K87" s="2" t="s">
        <v>29</v>
      </c>
      <c r="L87" s="2">
        <v>4</v>
      </c>
      <c r="M87" s="3">
        <v>999</v>
      </c>
      <c r="N87" s="4">
        <v>20</v>
      </c>
      <c r="O87" s="23">
        <v>799.2</v>
      </c>
      <c r="P87" s="23">
        <v>10</v>
      </c>
      <c r="Q87" s="23">
        <v>3206.8</v>
      </c>
      <c r="R87" s="23">
        <f t="shared" si="3"/>
        <v>639.36000000000013</v>
      </c>
      <c r="S87" s="2" t="s">
        <v>50</v>
      </c>
      <c r="T87" s="5" t="s">
        <v>31</v>
      </c>
      <c r="U87" s="2">
        <v>4</v>
      </c>
    </row>
    <row r="88" spans="1:21" x14ac:dyDescent="0.45">
      <c r="A88" s="6" t="s">
        <v>276</v>
      </c>
      <c r="B88" s="21" t="s">
        <v>277</v>
      </c>
      <c r="C88" s="20">
        <f t="shared" si="2"/>
        <v>45654</v>
      </c>
      <c r="D88" s="6" t="s">
        <v>123</v>
      </c>
      <c r="E88" s="6" t="s">
        <v>124</v>
      </c>
      <c r="F88" s="6" t="s">
        <v>125</v>
      </c>
      <c r="G88" s="6" t="s">
        <v>25</v>
      </c>
      <c r="H88" s="6" t="s">
        <v>37</v>
      </c>
      <c r="I88" s="6" t="s">
        <v>38</v>
      </c>
      <c r="J88" s="6" t="s">
        <v>39</v>
      </c>
      <c r="K88" s="6" t="s">
        <v>40</v>
      </c>
      <c r="L88" s="6">
        <v>2</v>
      </c>
      <c r="M88" s="7">
        <v>150</v>
      </c>
      <c r="N88" s="8">
        <v>15</v>
      </c>
      <c r="O88" s="24">
        <v>45</v>
      </c>
      <c r="P88" s="24">
        <v>15</v>
      </c>
      <c r="Q88" s="24">
        <v>270</v>
      </c>
      <c r="R88" s="23">
        <f t="shared" si="3"/>
        <v>51</v>
      </c>
      <c r="S88" s="6" t="s">
        <v>50</v>
      </c>
      <c r="T88" s="9" t="s">
        <v>60</v>
      </c>
      <c r="U88" s="6"/>
    </row>
    <row r="89" spans="1:21" x14ac:dyDescent="0.45">
      <c r="A89" s="2" t="s">
        <v>278</v>
      </c>
      <c r="B89" s="20" t="s">
        <v>279</v>
      </c>
      <c r="C89" s="20">
        <f t="shared" si="2"/>
        <v>45607</v>
      </c>
      <c r="D89" s="2" t="s">
        <v>44</v>
      </c>
      <c r="E89" s="2" t="s">
        <v>45</v>
      </c>
      <c r="F89" s="2" t="s">
        <v>46</v>
      </c>
      <c r="G89" s="2" t="s">
        <v>25</v>
      </c>
      <c r="H89" s="2" t="s">
        <v>98</v>
      </c>
      <c r="I89" s="2" t="s">
        <v>99</v>
      </c>
      <c r="J89" s="2" t="s">
        <v>100</v>
      </c>
      <c r="K89" s="2" t="s">
        <v>101</v>
      </c>
      <c r="L89" s="2">
        <v>4</v>
      </c>
      <c r="M89" s="3">
        <v>18</v>
      </c>
      <c r="N89" s="4">
        <v>5</v>
      </c>
      <c r="O89" s="23">
        <v>3.6</v>
      </c>
      <c r="P89" s="23">
        <v>10</v>
      </c>
      <c r="Q89" s="23">
        <v>78.400000000000006</v>
      </c>
      <c r="R89" s="23">
        <f t="shared" si="3"/>
        <v>13.680000000000001</v>
      </c>
      <c r="S89" s="2" t="s">
        <v>41</v>
      </c>
      <c r="T89" s="11" t="s">
        <v>92</v>
      </c>
      <c r="U89" s="2"/>
    </row>
    <row r="90" spans="1:21" x14ac:dyDescent="0.45">
      <c r="A90" s="6" t="s">
        <v>280</v>
      </c>
      <c r="B90" s="21" t="s">
        <v>281</v>
      </c>
      <c r="C90" s="20">
        <f t="shared" si="2"/>
        <v>45429</v>
      </c>
      <c r="D90" s="6" t="s">
        <v>137</v>
      </c>
      <c r="E90" s="6" t="s">
        <v>138</v>
      </c>
      <c r="F90" s="6" t="s">
        <v>139</v>
      </c>
      <c r="G90" s="6" t="s">
        <v>25</v>
      </c>
      <c r="H90" s="6" t="s">
        <v>195</v>
      </c>
      <c r="I90" s="6" t="s">
        <v>196</v>
      </c>
      <c r="J90" s="6" t="s">
        <v>67</v>
      </c>
      <c r="K90" s="6" t="s">
        <v>197</v>
      </c>
      <c r="L90" s="6">
        <v>2</v>
      </c>
      <c r="M90" s="7">
        <v>750</v>
      </c>
      <c r="N90" s="8">
        <v>20</v>
      </c>
      <c r="O90" s="24">
        <v>300</v>
      </c>
      <c r="P90" s="24">
        <v>0</v>
      </c>
      <c r="Q90" s="24">
        <v>1200</v>
      </c>
      <c r="R90" s="23">
        <f t="shared" si="3"/>
        <v>240</v>
      </c>
      <c r="S90" s="6" t="s">
        <v>187</v>
      </c>
      <c r="T90" s="5" t="s">
        <v>31</v>
      </c>
      <c r="U90" s="6">
        <v>2</v>
      </c>
    </row>
    <row r="91" spans="1:21" x14ac:dyDescent="0.45">
      <c r="A91" s="2" t="s">
        <v>282</v>
      </c>
      <c r="B91" s="20" t="s">
        <v>283</v>
      </c>
      <c r="C91" s="20">
        <f t="shared" si="2"/>
        <v>45529</v>
      </c>
      <c r="D91" s="2" t="s">
        <v>34</v>
      </c>
      <c r="E91" s="2" t="s">
        <v>35</v>
      </c>
      <c r="F91" s="2" t="s">
        <v>36</v>
      </c>
      <c r="G91" s="2" t="s">
        <v>25</v>
      </c>
      <c r="H91" s="2" t="s">
        <v>178</v>
      </c>
      <c r="I91" s="2" t="s">
        <v>179</v>
      </c>
      <c r="J91" s="2" t="s">
        <v>128</v>
      </c>
      <c r="K91" s="2" t="s">
        <v>180</v>
      </c>
      <c r="L91" s="2">
        <v>4</v>
      </c>
      <c r="M91" s="3">
        <v>28</v>
      </c>
      <c r="N91" s="4">
        <v>0</v>
      </c>
      <c r="O91" s="23">
        <v>0</v>
      </c>
      <c r="P91" s="23">
        <v>0</v>
      </c>
      <c r="Q91" s="23">
        <v>112</v>
      </c>
      <c r="R91" s="23">
        <f t="shared" si="3"/>
        <v>22.400000000000002</v>
      </c>
      <c r="S91" s="2" t="s">
        <v>50</v>
      </c>
      <c r="T91" s="5" t="s">
        <v>31</v>
      </c>
      <c r="U91" s="2">
        <v>2</v>
      </c>
    </row>
    <row r="92" spans="1:21" x14ac:dyDescent="0.45">
      <c r="A92" s="6" t="s">
        <v>284</v>
      </c>
      <c r="B92" s="21" t="s">
        <v>285</v>
      </c>
      <c r="C92" s="20">
        <f t="shared" si="2"/>
        <v>45541</v>
      </c>
      <c r="D92" s="6" t="s">
        <v>71</v>
      </c>
      <c r="E92" s="6" t="s">
        <v>72</v>
      </c>
      <c r="F92" s="6" t="s">
        <v>73</v>
      </c>
      <c r="G92" s="6" t="s">
        <v>25</v>
      </c>
      <c r="H92" s="6" t="s">
        <v>56</v>
      </c>
      <c r="I92" s="6" t="s">
        <v>57</v>
      </c>
      <c r="J92" s="6" t="s">
        <v>58</v>
      </c>
      <c r="K92" s="6" t="s">
        <v>59</v>
      </c>
      <c r="L92" s="6">
        <v>3</v>
      </c>
      <c r="M92" s="7">
        <v>79</v>
      </c>
      <c r="N92" s="8">
        <v>0</v>
      </c>
      <c r="O92" s="24">
        <v>0</v>
      </c>
      <c r="P92" s="24">
        <v>5</v>
      </c>
      <c r="Q92" s="24">
        <v>242</v>
      </c>
      <c r="R92" s="23">
        <f t="shared" si="3"/>
        <v>47.400000000000006</v>
      </c>
      <c r="S92" s="6" t="s">
        <v>50</v>
      </c>
      <c r="T92" s="11" t="s">
        <v>92</v>
      </c>
      <c r="U92" s="6"/>
    </row>
    <row r="93" spans="1:21" x14ac:dyDescent="0.45">
      <c r="A93" s="2" t="s">
        <v>286</v>
      </c>
      <c r="B93" s="20" t="s">
        <v>287</v>
      </c>
      <c r="C93" s="20">
        <f t="shared" si="2"/>
        <v>45576</v>
      </c>
      <c r="D93" s="2" t="s">
        <v>95</v>
      </c>
      <c r="E93" s="2" t="s">
        <v>96</v>
      </c>
      <c r="F93" s="2" t="s">
        <v>97</v>
      </c>
      <c r="G93" s="2" t="s">
        <v>25</v>
      </c>
      <c r="H93" s="2" t="s">
        <v>126</v>
      </c>
      <c r="I93" s="2" t="s">
        <v>127</v>
      </c>
      <c r="J93" s="2" t="s">
        <v>128</v>
      </c>
      <c r="K93" s="2" t="s">
        <v>129</v>
      </c>
      <c r="L93" s="2">
        <v>2</v>
      </c>
      <c r="M93" s="3">
        <v>35</v>
      </c>
      <c r="N93" s="4">
        <v>0</v>
      </c>
      <c r="O93" s="23">
        <v>0</v>
      </c>
      <c r="P93" s="23">
        <v>0</v>
      </c>
      <c r="Q93" s="23">
        <v>70</v>
      </c>
      <c r="R93" s="23">
        <f t="shared" si="3"/>
        <v>14</v>
      </c>
      <c r="S93" s="2" t="s">
        <v>187</v>
      </c>
      <c r="T93" s="10" t="s">
        <v>78</v>
      </c>
      <c r="U93" s="2"/>
    </row>
    <row r="94" spans="1:21" x14ac:dyDescent="0.45">
      <c r="A94" s="6" t="s">
        <v>288</v>
      </c>
      <c r="B94" s="21" t="s">
        <v>287</v>
      </c>
      <c r="C94" s="20">
        <f t="shared" si="2"/>
        <v>45576</v>
      </c>
      <c r="D94" s="6" t="s">
        <v>71</v>
      </c>
      <c r="E94" s="6" t="s">
        <v>72</v>
      </c>
      <c r="F94" s="6" t="s">
        <v>73</v>
      </c>
      <c r="G94" s="6" t="s">
        <v>25</v>
      </c>
      <c r="H94" s="6" t="s">
        <v>74</v>
      </c>
      <c r="I94" s="6" t="s">
        <v>75</v>
      </c>
      <c r="J94" s="6" t="s">
        <v>76</v>
      </c>
      <c r="K94" s="6" t="s">
        <v>77</v>
      </c>
      <c r="L94" s="6">
        <v>4</v>
      </c>
      <c r="M94" s="7">
        <v>320</v>
      </c>
      <c r="N94" s="8">
        <v>15</v>
      </c>
      <c r="O94" s="24">
        <v>192</v>
      </c>
      <c r="P94" s="24">
        <v>10</v>
      </c>
      <c r="Q94" s="24">
        <v>1098</v>
      </c>
      <c r="R94" s="23">
        <f t="shared" si="3"/>
        <v>217.60000000000002</v>
      </c>
      <c r="S94" s="6" t="s">
        <v>30</v>
      </c>
      <c r="T94" s="5" t="s">
        <v>31</v>
      </c>
      <c r="U94" s="6">
        <v>1</v>
      </c>
    </row>
    <row r="95" spans="1:21" x14ac:dyDescent="0.45">
      <c r="A95" s="2" t="s">
        <v>289</v>
      </c>
      <c r="B95" s="20" t="s">
        <v>290</v>
      </c>
      <c r="C95" s="20">
        <f t="shared" si="2"/>
        <v>45442</v>
      </c>
      <c r="D95" s="2" t="s">
        <v>71</v>
      </c>
      <c r="E95" s="2" t="s">
        <v>72</v>
      </c>
      <c r="F95" s="2" t="s">
        <v>73</v>
      </c>
      <c r="G95" s="2" t="s">
        <v>25</v>
      </c>
      <c r="H95" s="2" t="s">
        <v>37</v>
      </c>
      <c r="I95" s="2" t="s">
        <v>38</v>
      </c>
      <c r="J95" s="2" t="s">
        <v>39</v>
      </c>
      <c r="K95" s="2" t="s">
        <v>40</v>
      </c>
      <c r="L95" s="2">
        <v>2</v>
      </c>
      <c r="M95" s="3">
        <v>150</v>
      </c>
      <c r="N95" s="4">
        <v>0</v>
      </c>
      <c r="O95" s="23">
        <v>0</v>
      </c>
      <c r="P95" s="23">
        <v>15</v>
      </c>
      <c r="Q95" s="23">
        <v>315</v>
      </c>
      <c r="R95" s="23">
        <f t="shared" si="3"/>
        <v>60</v>
      </c>
      <c r="S95" s="2" t="s">
        <v>41</v>
      </c>
      <c r="T95" s="5" t="s">
        <v>31</v>
      </c>
      <c r="U95" s="2">
        <v>5</v>
      </c>
    </row>
    <row r="96" spans="1:21" x14ac:dyDescent="0.45">
      <c r="A96" s="6" t="s">
        <v>291</v>
      </c>
      <c r="B96" s="21" t="s">
        <v>292</v>
      </c>
      <c r="C96" s="20">
        <f t="shared" si="2"/>
        <v>45468</v>
      </c>
      <c r="D96" s="6" t="s">
        <v>53</v>
      </c>
      <c r="E96" s="6" t="s">
        <v>54</v>
      </c>
      <c r="F96" s="6" t="s">
        <v>55</v>
      </c>
      <c r="G96" s="6" t="s">
        <v>25</v>
      </c>
      <c r="H96" s="6" t="s">
        <v>74</v>
      </c>
      <c r="I96" s="6" t="s">
        <v>75</v>
      </c>
      <c r="J96" s="6" t="s">
        <v>76</v>
      </c>
      <c r="K96" s="6" t="s">
        <v>77</v>
      </c>
      <c r="L96" s="6">
        <v>5</v>
      </c>
      <c r="M96" s="7">
        <v>320</v>
      </c>
      <c r="N96" s="8">
        <v>0</v>
      </c>
      <c r="O96" s="24">
        <v>0</v>
      </c>
      <c r="P96" s="24">
        <v>5</v>
      </c>
      <c r="Q96" s="24">
        <v>1605</v>
      </c>
      <c r="R96" s="23">
        <f t="shared" si="3"/>
        <v>320</v>
      </c>
      <c r="S96" s="6" t="s">
        <v>50</v>
      </c>
      <c r="T96" s="10" t="s">
        <v>78</v>
      </c>
      <c r="U96" s="6"/>
    </row>
    <row r="97" spans="1:21" x14ac:dyDescent="0.45">
      <c r="A97" s="2" t="s">
        <v>293</v>
      </c>
      <c r="B97" s="20" t="s">
        <v>294</v>
      </c>
      <c r="C97" s="20">
        <f t="shared" si="2"/>
        <v>45448</v>
      </c>
      <c r="D97" s="2" t="s">
        <v>83</v>
      </c>
      <c r="E97" s="2" t="s">
        <v>84</v>
      </c>
      <c r="F97" s="2" t="s">
        <v>85</v>
      </c>
      <c r="G97" s="2" t="s">
        <v>25</v>
      </c>
      <c r="H97" s="2" t="s">
        <v>47</v>
      </c>
      <c r="I97" s="2" t="s">
        <v>48</v>
      </c>
      <c r="J97" s="2" t="s">
        <v>28</v>
      </c>
      <c r="K97" s="2" t="s">
        <v>49</v>
      </c>
      <c r="L97" s="2">
        <v>1</v>
      </c>
      <c r="M97" s="3">
        <v>349</v>
      </c>
      <c r="N97" s="4">
        <v>15</v>
      </c>
      <c r="O97" s="23">
        <v>52.35</v>
      </c>
      <c r="P97" s="23">
        <v>0</v>
      </c>
      <c r="Q97" s="23">
        <v>296.64999999999998</v>
      </c>
      <c r="R97" s="23">
        <f t="shared" si="3"/>
        <v>59.33</v>
      </c>
      <c r="S97" s="2" t="s">
        <v>41</v>
      </c>
      <c r="T97" s="5" t="s">
        <v>31</v>
      </c>
      <c r="U97" s="2">
        <v>2</v>
      </c>
    </row>
    <row r="98" spans="1:21" x14ac:dyDescent="0.45">
      <c r="A98" s="6" t="s">
        <v>295</v>
      </c>
      <c r="B98" s="21" t="s">
        <v>296</v>
      </c>
      <c r="C98" s="20">
        <f t="shared" si="2"/>
        <v>45390</v>
      </c>
      <c r="D98" s="6" t="s">
        <v>71</v>
      </c>
      <c r="E98" s="6" t="s">
        <v>72</v>
      </c>
      <c r="F98" s="6" t="s">
        <v>73</v>
      </c>
      <c r="G98" s="6" t="s">
        <v>25</v>
      </c>
      <c r="H98" s="6" t="s">
        <v>74</v>
      </c>
      <c r="I98" s="6" t="s">
        <v>75</v>
      </c>
      <c r="J98" s="6" t="s">
        <v>76</v>
      </c>
      <c r="K98" s="6" t="s">
        <v>77</v>
      </c>
      <c r="L98" s="6">
        <v>4</v>
      </c>
      <c r="M98" s="7">
        <v>320</v>
      </c>
      <c r="N98" s="8">
        <v>0</v>
      </c>
      <c r="O98" s="24">
        <v>0</v>
      </c>
      <c r="P98" s="24">
        <v>15</v>
      </c>
      <c r="Q98" s="24">
        <v>1295</v>
      </c>
      <c r="R98" s="23">
        <f t="shared" si="3"/>
        <v>256</v>
      </c>
      <c r="S98" s="6" t="s">
        <v>41</v>
      </c>
      <c r="T98" s="12" t="s">
        <v>206</v>
      </c>
      <c r="U98" s="6"/>
    </row>
    <row r="99" spans="1:21" x14ac:dyDescent="0.45">
      <c r="A99" s="2" t="s">
        <v>297</v>
      </c>
      <c r="B99" s="20" t="s">
        <v>112</v>
      </c>
      <c r="C99" s="20">
        <f t="shared" si="2"/>
        <v>45597</v>
      </c>
      <c r="D99" s="2" t="s">
        <v>83</v>
      </c>
      <c r="E99" s="2" t="s">
        <v>84</v>
      </c>
      <c r="F99" s="2" t="s">
        <v>85</v>
      </c>
      <c r="G99" s="2" t="s">
        <v>25</v>
      </c>
      <c r="H99" s="2" t="s">
        <v>150</v>
      </c>
      <c r="I99" s="2" t="s">
        <v>151</v>
      </c>
      <c r="J99" s="2" t="s">
        <v>28</v>
      </c>
      <c r="K99" s="2" t="s">
        <v>68</v>
      </c>
      <c r="L99" s="2">
        <v>2</v>
      </c>
      <c r="M99" s="3">
        <v>849</v>
      </c>
      <c r="N99" s="4">
        <v>0</v>
      </c>
      <c r="O99" s="23">
        <v>0</v>
      </c>
      <c r="P99" s="23">
        <v>0</v>
      </c>
      <c r="Q99" s="23">
        <v>1698</v>
      </c>
      <c r="R99" s="23">
        <f t="shared" si="3"/>
        <v>339.6</v>
      </c>
      <c r="S99" s="2" t="s">
        <v>50</v>
      </c>
      <c r="T99" s="5" t="s">
        <v>31</v>
      </c>
      <c r="U99" s="2">
        <v>1</v>
      </c>
    </row>
    <row r="100" spans="1:21" x14ac:dyDescent="0.45">
      <c r="A100" s="6" t="s">
        <v>298</v>
      </c>
      <c r="B100" s="21" t="s">
        <v>277</v>
      </c>
      <c r="C100" s="20">
        <f t="shared" si="2"/>
        <v>45654</v>
      </c>
      <c r="D100" s="6" t="s">
        <v>44</v>
      </c>
      <c r="E100" s="6" t="s">
        <v>45</v>
      </c>
      <c r="F100" s="6" t="s">
        <v>46</v>
      </c>
      <c r="G100" s="6" t="s">
        <v>25</v>
      </c>
      <c r="H100" s="6" t="s">
        <v>132</v>
      </c>
      <c r="I100" s="6" t="s">
        <v>133</v>
      </c>
      <c r="J100" s="6" t="s">
        <v>28</v>
      </c>
      <c r="K100" s="6" t="s">
        <v>134</v>
      </c>
      <c r="L100" s="6">
        <v>3</v>
      </c>
      <c r="M100" s="7">
        <v>1299</v>
      </c>
      <c r="N100" s="8">
        <v>0</v>
      </c>
      <c r="O100" s="24">
        <v>0</v>
      </c>
      <c r="P100" s="24">
        <v>0</v>
      </c>
      <c r="Q100" s="24">
        <v>3897</v>
      </c>
      <c r="R100" s="23">
        <f t="shared" si="3"/>
        <v>779.40000000000009</v>
      </c>
      <c r="S100" s="6" t="s">
        <v>86</v>
      </c>
      <c r="T100" s="5" t="s">
        <v>31</v>
      </c>
      <c r="U100" s="6">
        <v>4</v>
      </c>
    </row>
    <row r="101" spans="1:21" x14ac:dyDescent="0.45">
      <c r="A101" s="2" t="s">
        <v>299</v>
      </c>
      <c r="B101" s="20" t="s">
        <v>62</v>
      </c>
      <c r="C101" s="20">
        <f t="shared" si="2"/>
        <v>45344</v>
      </c>
      <c r="D101" s="2" t="s">
        <v>95</v>
      </c>
      <c r="E101" s="2" t="s">
        <v>96</v>
      </c>
      <c r="F101" s="2" t="s">
        <v>97</v>
      </c>
      <c r="G101" s="2" t="s">
        <v>25</v>
      </c>
      <c r="H101" s="2" t="s">
        <v>178</v>
      </c>
      <c r="I101" s="2" t="s">
        <v>179</v>
      </c>
      <c r="J101" s="2" t="s">
        <v>128</v>
      </c>
      <c r="K101" s="2" t="s">
        <v>180</v>
      </c>
      <c r="L101" s="2">
        <v>3</v>
      </c>
      <c r="M101" s="3">
        <v>28</v>
      </c>
      <c r="N101" s="4">
        <v>5</v>
      </c>
      <c r="O101" s="23">
        <v>4.2</v>
      </c>
      <c r="P101" s="23">
        <v>10</v>
      </c>
      <c r="Q101" s="23">
        <v>89.8</v>
      </c>
      <c r="R101" s="23">
        <f t="shared" si="3"/>
        <v>15.96</v>
      </c>
      <c r="S101" s="2" t="s">
        <v>86</v>
      </c>
      <c r="T101" s="5" t="s">
        <v>31</v>
      </c>
      <c r="U101" s="2">
        <v>1</v>
      </c>
    </row>
    <row r="102" spans="1:21" x14ac:dyDescent="0.45">
      <c r="A102" s="6" t="s">
        <v>300</v>
      </c>
      <c r="B102" s="21" t="s">
        <v>301</v>
      </c>
      <c r="C102" s="20">
        <f t="shared" si="2"/>
        <v>45421</v>
      </c>
      <c r="D102" s="6" t="s">
        <v>104</v>
      </c>
      <c r="E102" s="6" t="s">
        <v>105</v>
      </c>
      <c r="F102" s="6" t="s">
        <v>106</v>
      </c>
      <c r="G102" s="6" t="s">
        <v>25</v>
      </c>
      <c r="H102" s="6" t="s">
        <v>150</v>
      </c>
      <c r="I102" s="6" t="s">
        <v>151</v>
      </c>
      <c r="J102" s="6" t="s">
        <v>28</v>
      </c>
      <c r="K102" s="6" t="s">
        <v>68</v>
      </c>
      <c r="L102" s="6">
        <v>1</v>
      </c>
      <c r="M102" s="7">
        <v>849</v>
      </c>
      <c r="N102" s="8">
        <v>5</v>
      </c>
      <c r="O102" s="24">
        <v>42.45</v>
      </c>
      <c r="P102" s="24">
        <v>10</v>
      </c>
      <c r="Q102" s="24">
        <v>816.55</v>
      </c>
      <c r="R102" s="23">
        <f t="shared" si="3"/>
        <v>161.31</v>
      </c>
      <c r="S102" s="6" t="s">
        <v>30</v>
      </c>
      <c r="T102" s="5" t="s">
        <v>31</v>
      </c>
      <c r="U102" s="6">
        <v>2</v>
      </c>
    </row>
    <row r="103" spans="1:21" x14ac:dyDescent="0.45">
      <c r="A103" s="2" t="s">
        <v>302</v>
      </c>
      <c r="B103" s="20" t="s">
        <v>303</v>
      </c>
      <c r="C103" s="20">
        <f t="shared" si="2"/>
        <v>45368</v>
      </c>
      <c r="D103" s="2" t="s">
        <v>34</v>
      </c>
      <c r="E103" s="2" t="s">
        <v>35</v>
      </c>
      <c r="F103" s="2" t="s">
        <v>36</v>
      </c>
      <c r="G103" s="2" t="s">
        <v>25</v>
      </c>
      <c r="H103" s="2" t="s">
        <v>89</v>
      </c>
      <c r="I103" s="2" t="s">
        <v>90</v>
      </c>
      <c r="J103" s="2" t="s">
        <v>58</v>
      </c>
      <c r="K103" s="2" t="s">
        <v>91</v>
      </c>
      <c r="L103" s="2">
        <v>1</v>
      </c>
      <c r="M103" s="3">
        <v>29</v>
      </c>
      <c r="N103" s="4">
        <v>0</v>
      </c>
      <c r="O103" s="23">
        <v>0</v>
      </c>
      <c r="P103" s="23">
        <v>0</v>
      </c>
      <c r="Q103" s="23">
        <v>29</v>
      </c>
      <c r="R103" s="23">
        <f t="shared" si="3"/>
        <v>5.8000000000000007</v>
      </c>
      <c r="S103" s="2" t="s">
        <v>187</v>
      </c>
      <c r="T103" s="5" t="s">
        <v>31</v>
      </c>
      <c r="U103" s="2">
        <v>5</v>
      </c>
    </row>
    <row r="104" spans="1:21" x14ac:dyDescent="0.45">
      <c r="A104" s="6" t="s">
        <v>304</v>
      </c>
      <c r="B104" s="21" t="s">
        <v>112</v>
      </c>
      <c r="C104" s="20">
        <f t="shared" si="2"/>
        <v>45597</v>
      </c>
      <c r="D104" s="6" t="s">
        <v>34</v>
      </c>
      <c r="E104" s="6" t="s">
        <v>35</v>
      </c>
      <c r="F104" s="6" t="s">
        <v>36</v>
      </c>
      <c r="G104" s="6" t="s">
        <v>25</v>
      </c>
      <c r="H104" s="6" t="s">
        <v>47</v>
      </c>
      <c r="I104" s="6" t="s">
        <v>48</v>
      </c>
      <c r="J104" s="6" t="s">
        <v>28</v>
      </c>
      <c r="K104" s="6" t="s">
        <v>49</v>
      </c>
      <c r="L104" s="6">
        <v>5</v>
      </c>
      <c r="M104" s="7">
        <v>349</v>
      </c>
      <c r="N104" s="8">
        <v>5</v>
      </c>
      <c r="O104" s="24">
        <v>87.25</v>
      </c>
      <c r="P104" s="24">
        <v>10</v>
      </c>
      <c r="Q104" s="24">
        <v>1667.75</v>
      </c>
      <c r="R104" s="23">
        <f t="shared" si="3"/>
        <v>331.55</v>
      </c>
      <c r="S104" s="6" t="s">
        <v>50</v>
      </c>
      <c r="T104" s="9" t="s">
        <v>60</v>
      </c>
      <c r="U104" s="6"/>
    </row>
    <row r="105" spans="1:21" x14ac:dyDescent="0.45">
      <c r="A105" s="2" t="s">
        <v>305</v>
      </c>
      <c r="B105" s="20" t="s">
        <v>306</v>
      </c>
      <c r="C105" s="20">
        <f t="shared" si="2"/>
        <v>45593</v>
      </c>
      <c r="D105" s="2" t="s">
        <v>53</v>
      </c>
      <c r="E105" s="2" t="s">
        <v>54</v>
      </c>
      <c r="F105" s="2" t="s">
        <v>55</v>
      </c>
      <c r="G105" s="2" t="s">
        <v>25</v>
      </c>
      <c r="H105" s="2" t="s">
        <v>89</v>
      </c>
      <c r="I105" s="2" t="s">
        <v>90</v>
      </c>
      <c r="J105" s="2" t="s">
        <v>58</v>
      </c>
      <c r="K105" s="2" t="s">
        <v>91</v>
      </c>
      <c r="L105" s="2">
        <v>5</v>
      </c>
      <c r="M105" s="3">
        <v>29</v>
      </c>
      <c r="N105" s="4">
        <v>10</v>
      </c>
      <c r="O105" s="23">
        <v>14.5</v>
      </c>
      <c r="P105" s="23">
        <v>0</v>
      </c>
      <c r="Q105" s="23">
        <v>130.5</v>
      </c>
      <c r="R105" s="23">
        <f t="shared" si="3"/>
        <v>26.1</v>
      </c>
      <c r="S105" s="2" t="s">
        <v>30</v>
      </c>
      <c r="T105" s="5" t="s">
        <v>31</v>
      </c>
      <c r="U105" s="2">
        <v>2</v>
      </c>
    </row>
    <row r="106" spans="1:21" x14ac:dyDescent="0.45">
      <c r="A106" s="6" t="s">
        <v>307</v>
      </c>
      <c r="B106" s="21" t="s">
        <v>308</v>
      </c>
      <c r="C106" s="20">
        <f t="shared" si="2"/>
        <v>45612</v>
      </c>
      <c r="D106" s="6" t="s">
        <v>71</v>
      </c>
      <c r="E106" s="6" t="s">
        <v>72</v>
      </c>
      <c r="F106" s="6" t="s">
        <v>73</v>
      </c>
      <c r="G106" s="6" t="s">
        <v>25</v>
      </c>
      <c r="H106" s="6" t="s">
        <v>89</v>
      </c>
      <c r="I106" s="6" t="s">
        <v>90</v>
      </c>
      <c r="J106" s="6" t="s">
        <v>58</v>
      </c>
      <c r="K106" s="6" t="s">
        <v>91</v>
      </c>
      <c r="L106" s="6">
        <v>1</v>
      </c>
      <c r="M106" s="7">
        <v>29</v>
      </c>
      <c r="N106" s="8">
        <v>0</v>
      </c>
      <c r="O106" s="24">
        <v>0</v>
      </c>
      <c r="P106" s="24">
        <v>0</v>
      </c>
      <c r="Q106" s="24">
        <v>29</v>
      </c>
      <c r="R106" s="23">
        <f t="shared" si="3"/>
        <v>5.8000000000000007</v>
      </c>
      <c r="S106" s="6" t="s">
        <v>30</v>
      </c>
      <c r="T106" s="5" t="s">
        <v>31</v>
      </c>
      <c r="U106" s="6">
        <v>2</v>
      </c>
    </row>
    <row r="107" spans="1:21" x14ac:dyDescent="0.45">
      <c r="A107" s="2" t="s">
        <v>309</v>
      </c>
      <c r="B107" s="20" t="s">
        <v>310</v>
      </c>
      <c r="C107" s="20">
        <f t="shared" si="2"/>
        <v>45293</v>
      </c>
      <c r="D107" s="2" t="s">
        <v>53</v>
      </c>
      <c r="E107" s="2" t="s">
        <v>54</v>
      </c>
      <c r="F107" s="2" t="s">
        <v>55</v>
      </c>
      <c r="G107" s="2" t="s">
        <v>25</v>
      </c>
      <c r="H107" s="2" t="s">
        <v>140</v>
      </c>
      <c r="I107" s="2" t="s">
        <v>141</v>
      </c>
      <c r="J107" s="2" t="s">
        <v>39</v>
      </c>
      <c r="K107" s="2" t="s">
        <v>142</v>
      </c>
      <c r="L107" s="2">
        <v>5</v>
      </c>
      <c r="M107" s="3">
        <v>180</v>
      </c>
      <c r="N107" s="4">
        <v>5</v>
      </c>
      <c r="O107" s="23">
        <v>45</v>
      </c>
      <c r="P107" s="23">
        <v>5</v>
      </c>
      <c r="Q107" s="23">
        <v>860</v>
      </c>
      <c r="R107" s="23">
        <f t="shared" si="3"/>
        <v>171</v>
      </c>
      <c r="S107" s="2" t="s">
        <v>50</v>
      </c>
      <c r="T107" s="5" t="s">
        <v>31</v>
      </c>
      <c r="U107" s="2">
        <v>3</v>
      </c>
    </row>
    <row r="108" spans="1:21" x14ac:dyDescent="0.45">
      <c r="A108" s="6" t="s">
        <v>311</v>
      </c>
      <c r="B108" s="21" t="s">
        <v>312</v>
      </c>
      <c r="C108" s="20">
        <f t="shared" si="2"/>
        <v>45651</v>
      </c>
      <c r="D108" s="6" t="s">
        <v>104</v>
      </c>
      <c r="E108" s="6" t="s">
        <v>105</v>
      </c>
      <c r="F108" s="6" t="s">
        <v>106</v>
      </c>
      <c r="G108" s="6" t="s">
        <v>25</v>
      </c>
      <c r="H108" s="6" t="s">
        <v>150</v>
      </c>
      <c r="I108" s="6" t="s">
        <v>151</v>
      </c>
      <c r="J108" s="6" t="s">
        <v>28</v>
      </c>
      <c r="K108" s="6" t="s">
        <v>68</v>
      </c>
      <c r="L108" s="6">
        <v>2</v>
      </c>
      <c r="M108" s="7">
        <v>849</v>
      </c>
      <c r="N108" s="8">
        <v>0</v>
      </c>
      <c r="O108" s="24">
        <v>0</v>
      </c>
      <c r="P108" s="24">
        <v>15</v>
      </c>
      <c r="Q108" s="24">
        <v>1713</v>
      </c>
      <c r="R108" s="23">
        <f t="shared" si="3"/>
        <v>339.6</v>
      </c>
      <c r="S108" s="6" t="s">
        <v>86</v>
      </c>
      <c r="T108" s="10" t="s">
        <v>78</v>
      </c>
      <c r="U108" s="6"/>
    </row>
    <row r="109" spans="1:21" x14ac:dyDescent="0.45">
      <c r="A109" s="2" t="s">
        <v>313</v>
      </c>
      <c r="B109" s="20" t="s">
        <v>314</v>
      </c>
      <c r="C109" s="20">
        <f t="shared" si="2"/>
        <v>45509</v>
      </c>
      <c r="D109" s="2" t="s">
        <v>22</v>
      </c>
      <c r="E109" s="2" t="s">
        <v>23</v>
      </c>
      <c r="F109" s="2" t="s">
        <v>24</v>
      </c>
      <c r="G109" s="2" t="s">
        <v>25</v>
      </c>
      <c r="H109" s="2" t="s">
        <v>126</v>
      </c>
      <c r="I109" s="2" t="s">
        <v>127</v>
      </c>
      <c r="J109" s="2" t="s">
        <v>128</v>
      </c>
      <c r="K109" s="2" t="s">
        <v>129</v>
      </c>
      <c r="L109" s="2">
        <v>2</v>
      </c>
      <c r="M109" s="3">
        <v>35</v>
      </c>
      <c r="N109" s="4">
        <v>15</v>
      </c>
      <c r="O109" s="23">
        <v>10.5</v>
      </c>
      <c r="P109" s="23">
        <v>0</v>
      </c>
      <c r="Q109" s="23">
        <v>59.5</v>
      </c>
      <c r="R109" s="23">
        <f t="shared" si="3"/>
        <v>11.9</v>
      </c>
      <c r="S109" s="2" t="s">
        <v>86</v>
      </c>
      <c r="T109" s="9" t="s">
        <v>60</v>
      </c>
      <c r="U109" s="2"/>
    </row>
    <row r="110" spans="1:21" x14ac:dyDescent="0.45">
      <c r="A110" s="6" t="s">
        <v>315</v>
      </c>
      <c r="B110" s="21" t="s">
        <v>154</v>
      </c>
      <c r="C110" s="20">
        <f t="shared" si="2"/>
        <v>45328</v>
      </c>
      <c r="D110" s="6" t="s">
        <v>95</v>
      </c>
      <c r="E110" s="6" t="s">
        <v>96</v>
      </c>
      <c r="F110" s="6" t="s">
        <v>97</v>
      </c>
      <c r="G110" s="6" t="s">
        <v>25</v>
      </c>
      <c r="H110" s="6" t="s">
        <v>132</v>
      </c>
      <c r="I110" s="6" t="s">
        <v>133</v>
      </c>
      <c r="J110" s="6" t="s">
        <v>28</v>
      </c>
      <c r="K110" s="6" t="s">
        <v>134</v>
      </c>
      <c r="L110" s="6">
        <v>3</v>
      </c>
      <c r="M110" s="7">
        <v>1299</v>
      </c>
      <c r="N110" s="8">
        <v>10</v>
      </c>
      <c r="O110" s="24">
        <v>389.7</v>
      </c>
      <c r="P110" s="24">
        <v>15</v>
      </c>
      <c r="Q110" s="24">
        <v>3522.3</v>
      </c>
      <c r="R110" s="23">
        <f t="shared" si="3"/>
        <v>701.46</v>
      </c>
      <c r="S110" s="6" t="s">
        <v>187</v>
      </c>
      <c r="T110" s="9" t="s">
        <v>60</v>
      </c>
      <c r="U110" s="6"/>
    </row>
    <row r="111" spans="1:21" x14ac:dyDescent="0.45">
      <c r="A111" s="2" t="s">
        <v>316</v>
      </c>
      <c r="B111" s="20" t="s">
        <v>317</v>
      </c>
      <c r="C111" s="20">
        <f t="shared" si="2"/>
        <v>45355</v>
      </c>
      <c r="D111" s="2" t="s">
        <v>104</v>
      </c>
      <c r="E111" s="2" t="s">
        <v>105</v>
      </c>
      <c r="F111" s="2" t="s">
        <v>106</v>
      </c>
      <c r="G111" s="2" t="s">
        <v>25</v>
      </c>
      <c r="H111" s="2" t="s">
        <v>74</v>
      </c>
      <c r="I111" s="2" t="s">
        <v>75</v>
      </c>
      <c r="J111" s="2" t="s">
        <v>76</v>
      </c>
      <c r="K111" s="2" t="s">
        <v>77</v>
      </c>
      <c r="L111" s="2">
        <v>3</v>
      </c>
      <c r="M111" s="3">
        <v>320</v>
      </c>
      <c r="N111" s="4">
        <v>15</v>
      </c>
      <c r="O111" s="23">
        <v>144</v>
      </c>
      <c r="P111" s="23">
        <v>10</v>
      </c>
      <c r="Q111" s="23">
        <v>826</v>
      </c>
      <c r="R111" s="23">
        <f t="shared" si="3"/>
        <v>163.20000000000002</v>
      </c>
      <c r="S111" s="2" t="s">
        <v>41</v>
      </c>
      <c r="T111" s="9" t="s">
        <v>60</v>
      </c>
      <c r="U111" s="2"/>
    </row>
    <row r="112" spans="1:21" x14ac:dyDescent="0.45">
      <c r="A112" s="6" t="s">
        <v>318</v>
      </c>
      <c r="B112" s="21" t="s">
        <v>319</v>
      </c>
      <c r="C112" s="20">
        <f t="shared" si="2"/>
        <v>45568</v>
      </c>
      <c r="D112" s="6" t="s">
        <v>104</v>
      </c>
      <c r="E112" s="6" t="s">
        <v>105</v>
      </c>
      <c r="F112" s="6" t="s">
        <v>106</v>
      </c>
      <c r="G112" s="6" t="s">
        <v>25</v>
      </c>
      <c r="H112" s="6" t="s">
        <v>140</v>
      </c>
      <c r="I112" s="6" t="s">
        <v>141</v>
      </c>
      <c r="J112" s="6" t="s">
        <v>39</v>
      </c>
      <c r="K112" s="6" t="s">
        <v>142</v>
      </c>
      <c r="L112" s="6">
        <v>1</v>
      </c>
      <c r="M112" s="7">
        <v>180</v>
      </c>
      <c r="N112" s="8">
        <v>10</v>
      </c>
      <c r="O112" s="24">
        <v>18</v>
      </c>
      <c r="P112" s="24">
        <v>0</v>
      </c>
      <c r="Q112" s="24">
        <v>162</v>
      </c>
      <c r="R112" s="23">
        <f t="shared" si="3"/>
        <v>32.4</v>
      </c>
      <c r="S112" s="6" t="s">
        <v>50</v>
      </c>
      <c r="T112" s="11" t="s">
        <v>92</v>
      </c>
      <c r="U112" s="6"/>
    </row>
    <row r="113" spans="1:21" x14ac:dyDescent="0.45">
      <c r="A113" s="2" t="s">
        <v>320</v>
      </c>
      <c r="B113" s="20" t="s">
        <v>321</v>
      </c>
      <c r="C113" s="20">
        <f t="shared" si="2"/>
        <v>45601</v>
      </c>
      <c r="D113" s="2" t="s">
        <v>83</v>
      </c>
      <c r="E113" s="2" t="s">
        <v>84</v>
      </c>
      <c r="F113" s="2" t="s">
        <v>85</v>
      </c>
      <c r="G113" s="2" t="s">
        <v>25</v>
      </c>
      <c r="H113" s="2" t="s">
        <v>26</v>
      </c>
      <c r="I113" s="2" t="s">
        <v>27</v>
      </c>
      <c r="J113" s="2" t="s">
        <v>28</v>
      </c>
      <c r="K113" s="2" t="s">
        <v>29</v>
      </c>
      <c r="L113" s="2">
        <v>1</v>
      </c>
      <c r="M113" s="3">
        <v>999</v>
      </c>
      <c r="N113" s="4">
        <v>0</v>
      </c>
      <c r="O113" s="23">
        <v>0</v>
      </c>
      <c r="P113" s="23">
        <v>15</v>
      </c>
      <c r="Q113" s="23">
        <v>1014</v>
      </c>
      <c r="R113" s="23">
        <f t="shared" si="3"/>
        <v>199.8</v>
      </c>
      <c r="S113" s="2" t="s">
        <v>30</v>
      </c>
      <c r="T113" s="5" t="s">
        <v>31</v>
      </c>
      <c r="U113" s="2">
        <v>3</v>
      </c>
    </row>
    <row r="114" spans="1:21" x14ac:dyDescent="0.45">
      <c r="A114" s="6" t="s">
        <v>322</v>
      </c>
      <c r="B114" s="21" t="s">
        <v>70</v>
      </c>
      <c r="C114" s="20">
        <f t="shared" si="2"/>
        <v>45587</v>
      </c>
      <c r="D114" s="6" t="s">
        <v>95</v>
      </c>
      <c r="E114" s="6" t="s">
        <v>96</v>
      </c>
      <c r="F114" s="6" t="s">
        <v>97</v>
      </c>
      <c r="G114" s="6" t="s">
        <v>25</v>
      </c>
      <c r="H114" s="6" t="s">
        <v>98</v>
      </c>
      <c r="I114" s="6" t="s">
        <v>99</v>
      </c>
      <c r="J114" s="6" t="s">
        <v>100</v>
      </c>
      <c r="K114" s="6" t="s">
        <v>101</v>
      </c>
      <c r="L114" s="6">
        <v>2</v>
      </c>
      <c r="M114" s="7">
        <v>18</v>
      </c>
      <c r="N114" s="8">
        <v>5</v>
      </c>
      <c r="O114" s="24">
        <v>1.8</v>
      </c>
      <c r="P114" s="24">
        <v>15</v>
      </c>
      <c r="Q114" s="24">
        <v>49.2</v>
      </c>
      <c r="R114" s="23">
        <f t="shared" si="3"/>
        <v>6.8400000000000007</v>
      </c>
      <c r="S114" s="6" t="s">
        <v>50</v>
      </c>
      <c r="T114" s="10" t="s">
        <v>78</v>
      </c>
      <c r="U114" s="6"/>
    </row>
    <row r="115" spans="1:21" x14ac:dyDescent="0.45">
      <c r="A115" s="2" t="s">
        <v>323</v>
      </c>
      <c r="B115" s="20" t="s">
        <v>324</v>
      </c>
      <c r="C115" s="20">
        <f t="shared" si="2"/>
        <v>45384</v>
      </c>
      <c r="D115" s="2" t="s">
        <v>34</v>
      </c>
      <c r="E115" s="2" t="s">
        <v>35</v>
      </c>
      <c r="F115" s="2" t="s">
        <v>36</v>
      </c>
      <c r="G115" s="2" t="s">
        <v>25</v>
      </c>
      <c r="H115" s="2" t="s">
        <v>37</v>
      </c>
      <c r="I115" s="2" t="s">
        <v>38</v>
      </c>
      <c r="J115" s="2" t="s">
        <v>39</v>
      </c>
      <c r="K115" s="2" t="s">
        <v>40</v>
      </c>
      <c r="L115" s="2">
        <v>4</v>
      </c>
      <c r="M115" s="3">
        <v>150</v>
      </c>
      <c r="N115" s="4">
        <v>0</v>
      </c>
      <c r="O115" s="23">
        <v>0</v>
      </c>
      <c r="P115" s="23">
        <v>10</v>
      </c>
      <c r="Q115" s="23">
        <v>610</v>
      </c>
      <c r="R115" s="23">
        <f t="shared" si="3"/>
        <v>120</v>
      </c>
      <c r="S115" s="2" t="s">
        <v>50</v>
      </c>
      <c r="T115" s="5" t="s">
        <v>31</v>
      </c>
      <c r="U115" s="2">
        <v>3</v>
      </c>
    </row>
    <row r="116" spans="1:21" x14ac:dyDescent="0.45">
      <c r="A116" s="6" t="s">
        <v>325</v>
      </c>
      <c r="B116" s="21" t="s">
        <v>82</v>
      </c>
      <c r="C116" s="20">
        <f t="shared" si="2"/>
        <v>45635</v>
      </c>
      <c r="D116" s="6" t="s">
        <v>22</v>
      </c>
      <c r="E116" s="6" t="s">
        <v>23</v>
      </c>
      <c r="F116" s="6" t="s">
        <v>24</v>
      </c>
      <c r="G116" s="6" t="s">
        <v>25</v>
      </c>
      <c r="H116" s="6" t="s">
        <v>195</v>
      </c>
      <c r="I116" s="6" t="s">
        <v>196</v>
      </c>
      <c r="J116" s="6" t="s">
        <v>67</v>
      </c>
      <c r="K116" s="6" t="s">
        <v>197</v>
      </c>
      <c r="L116" s="6">
        <v>2</v>
      </c>
      <c r="M116" s="7">
        <v>750</v>
      </c>
      <c r="N116" s="8">
        <v>0</v>
      </c>
      <c r="O116" s="24">
        <v>0</v>
      </c>
      <c r="P116" s="24">
        <v>10</v>
      </c>
      <c r="Q116" s="24">
        <v>1510</v>
      </c>
      <c r="R116" s="23">
        <f t="shared" si="3"/>
        <v>300</v>
      </c>
      <c r="S116" s="6" t="s">
        <v>50</v>
      </c>
      <c r="T116" s="10" t="s">
        <v>78</v>
      </c>
      <c r="U116" s="6"/>
    </row>
    <row r="117" spans="1:21" x14ac:dyDescent="0.45">
      <c r="A117" s="2" t="s">
        <v>326</v>
      </c>
      <c r="B117" s="20" t="s">
        <v>327</v>
      </c>
      <c r="C117" s="20">
        <f t="shared" si="2"/>
        <v>45631</v>
      </c>
      <c r="D117" s="2" t="s">
        <v>53</v>
      </c>
      <c r="E117" s="2" t="s">
        <v>54</v>
      </c>
      <c r="F117" s="2" t="s">
        <v>55</v>
      </c>
      <c r="G117" s="2" t="s">
        <v>25</v>
      </c>
      <c r="H117" s="2" t="s">
        <v>195</v>
      </c>
      <c r="I117" s="2" t="s">
        <v>196</v>
      </c>
      <c r="J117" s="2" t="s">
        <v>67</v>
      </c>
      <c r="K117" s="2" t="s">
        <v>197</v>
      </c>
      <c r="L117" s="2">
        <v>5</v>
      </c>
      <c r="M117" s="3">
        <v>750</v>
      </c>
      <c r="N117" s="4">
        <v>0</v>
      </c>
      <c r="O117" s="23">
        <v>0</v>
      </c>
      <c r="P117" s="23">
        <v>10</v>
      </c>
      <c r="Q117" s="23">
        <v>3760</v>
      </c>
      <c r="R117" s="23">
        <f t="shared" si="3"/>
        <v>750</v>
      </c>
      <c r="S117" s="2" t="s">
        <v>50</v>
      </c>
      <c r="T117" s="5" t="s">
        <v>31</v>
      </c>
      <c r="U117" s="2">
        <v>3</v>
      </c>
    </row>
    <row r="118" spans="1:21" x14ac:dyDescent="0.45">
      <c r="A118" s="6" t="s">
        <v>328</v>
      </c>
      <c r="B118" s="21" t="s">
        <v>329</v>
      </c>
      <c r="C118" s="20">
        <f t="shared" si="2"/>
        <v>45351</v>
      </c>
      <c r="D118" s="6" t="s">
        <v>53</v>
      </c>
      <c r="E118" s="6" t="s">
        <v>54</v>
      </c>
      <c r="F118" s="6" t="s">
        <v>55</v>
      </c>
      <c r="G118" s="6" t="s">
        <v>25</v>
      </c>
      <c r="H118" s="6" t="s">
        <v>195</v>
      </c>
      <c r="I118" s="6" t="s">
        <v>196</v>
      </c>
      <c r="J118" s="6" t="s">
        <v>67</v>
      </c>
      <c r="K118" s="6" t="s">
        <v>197</v>
      </c>
      <c r="L118" s="6">
        <v>5</v>
      </c>
      <c r="M118" s="7">
        <v>750</v>
      </c>
      <c r="N118" s="8">
        <v>20</v>
      </c>
      <c r="O118" s="24">
        <v>750</v>
      </c>
      <c r="P118" s="24">
        <v>0</v>
      </c>
      <c r="Q118" s="24">
        <v>3000</v>
      </c>
      <c r="R118" s="23">
        <f t="shared" si="3"/>
        <v>600</v>
      </c>
      <c r="S118" s="6" t="s">
        <v>41</v>
      </c>
      <c r="T118" s="10" t="s">
        <v>78</v>
      </c>
      <c r="U118" s="6"/>
    </row>
    <row r="119" spans="1:21" x14ac:dyDescent="0.45">
      <c r="A119" s="2" t="s">
        <v>330</v>
      </c>
      <c r="B119" s="20" t="s">
        <v>88</v>
      </c>
      <c r="C119" s="20">
        <f t="shared" si="2"/>
        <v>45528</v>
      </c>
      <c r="D119" s="2" t="s">
        <v>53</v>
      </c>
      <c r="E119" s="2" t="s">
        <v>54</v>
      </c>
      <c r="F119" s="2" t="s">
        <v>55</v>
      </c>
      <c r="G119" s="2" t="s">
        <v>25</v>
      </c>
      <c r="H119" s="2" t="s">
        <v>26</v>
      </c>
      <c r="I119" s="2" t="s">
        <v>27</v>
      </c>
      <c r="J119" s="2" t="s">
        <v>28</v>
      </c>
      <c r="K119" s="2" t="s">
        <v>29</v>
      </c>
      <c r="L119" s="2">
        <v>2</v>
      </c>
      <c r="M119" s="3">
        <v>999</v>
      </c>
      <c r="N119" s="4">
        <v>10</v>
      </c>
      <c r="O119" s="23">
        <v>199.8</v>
      </c>
      <c r="P119" s="23">
        <v>5</v>
      </c>
      <c r="Q119" s="23">
        <v>1803.2</v>
      </c>
      <c r="R119" s="23">
        <f t="shared" si="3"/>
        <v>359.64000000000004</v>
      </c>
      <c r="S119" s="2" t="s">
        <v>187</v>
      </c>
      <c r="T119" s="5" t="s">
        <v>31</v>
      </c>
      <c r="U119" s="2">
        <v>4</v>
      </c>
    </row>
    <row r="120" spans="1:21" x14ac:dyDescent="0.45">
      <c r="A120" s="6" t="s">
        <v>331</v>
      </c>
      <c r="B120" s="21" t="s">
        <v>332</v>
      </c>
      <c r="C120" s="20">
        <f t="shared" si="2"/>
        <v>45318</v>
      </c>
      <c r="D120" s="6" t="s">
        <v>71</v>
      </c>
      <c r="E120" s="6" t="s">
        <v>72</v>
      </c>
      <c r="F120" s="6" t="s">
        <v>73</v>
      </c>
      <c r="G120" s="6" t="s">
        <v>25</v>
      </c>
      <c r="H120" s="6" t="s">
        <v>89</v>
      </c>
      <c r="I120" s="6" t="s">
        <v>90</v>
      </c>
      <c r="J120" s="6" t="s">
        <v>58</v>
      </c>
      <c r="K120" s="6" t="s">
        <v>91</v>
      </c>
      <c r="L120" s="6">
        <v>5</v>
      </c>
      <c r="M120" s="7">
        <v>29</v>
      </c>
      <c r="N120" s="8">
        <v>0</v>
      </c>
      <c r="O120" s="24">
        <v>0</v>
      </c>
      <c r="P120" s="24">
        <v>5</v>
      </c>
      <c r="Q120" s="24">
        <v>150</v>
      </c>
      <c r="R120" s="23">
        <f t="shared" si="3"/>
        <v>29</v>
      </c>
      <c r="S120" s="6" t="s">
        <v>187</v>
      </c>
      <c r="T120" s="5" t="s">
        <v>31</v>
      </c>
      <c r="U120" s="6">
        <v>1</v>
      </c>
    </row>
    <row r="121" spans="1:21" x14ac:dyDescent="0.45">
      <c r="A121" s="2" t="s">
        <v>333</v>
      </c>
      <c r="B121" s="20" t="s">
        <v>255</v>
      </c>
      <c r="C121" s="20">
        <f t="shared" si="2"/>
        <v>45306</v>
      </c>
      <c r="D121" s="2" t="s">
        <v>34</v>
      </c>
      <c r="E121" s="2" t="s">
        <v>35</v>
      </c>
      <c r="F121" s="2" t="s">
        <v>36</v>
      </c>
      <c r="G121" s="2" t="s">
        <v>25</v>
      </c>
      <c r="H121" s="2" t="s">
        <v>98</v>
      </c>
      <c r="I121" s="2" t="s">
        <v>99</v>
      </c>
      <c r="J121" s="2" t="s">
        <v>100</v>
      </c>
      <c r="K121" s="2" t="s">
        <v>101</v>
      </c>
      <c r="L121" s="2">
        <v>2</v>
      </c>
      <c r="M121" s="3">
        <v>18</v>
      </c>
      <c r="N121" s="4">
        <v>15</v>
      </c>
      <c r="O121" s="23">
        <v>5.4</v>
      </c>
      <c r="P121" s="23">
        <v>0</v>
      </c>
      <c r="Q121" s="23">
        <v>30.6</v>
      </c>
      <c r="R121" s="23">
        <f t="shared" si="3"/>
        <v>6.120000000000001</v>
      </c>
      <c r="S121" s="2" t="s">
        <v>30</v>
      </c>
      <c r="T121" s="5" t="s">
        <v>31</v>
      </c>
      <c r="U121" s="2">
        <v>5</v>
      </c>
    </row>
    <row r="122" spans="1:21" x14ac:dyDescent="0.45">
      <c r="A122" s="6" t="s">
        <v>334</v>
      </c>
      <c r="B122" s="21" t="s">
        <v>335</v>
      </c>
      <c r="C122" s="20">
        <f t="shared" si="2"/>
        <v>45500</v>
      </c>
      <c r="D122" s="6" t="s">
        <v>22</v>
      </c>
      <c r="E122" s="6" t="s">
        <v>23</v>
      </c>
      <c r="F122" s="6" t="s">
        <v>24</v>
      </c>
      <c r="G122" s="6" t="s">
        <v>25</v>
      </c>
      <c r="H122" s="6" t="s">
        <v>47</v>
      </c>
      <c r="I122" s="6" t="s">
        <v>48</v>
      </c>
      <c r="J122" s="6" t="s">
        <v>28</v>
      </c>
      <c r="K122" s="6" t="s">
        <v>49</v>
      </c>
      <c r="L122" s="6">
        <v>1</v>
      </c>
      <c r="M122" s="7">
        <v>349</v>
      </c>
      <c r="N122" s="8">
        <v>5</v>
      </c>
      <c r="O122" s="24">
        <v>17.45</v>
      </c>
      <c r="P122" s="24">
        <v>0</v>
      </c>
      <c r="Q122" s="24">
        <v>331.55</v>
      </c>
      <c r="R122" s="23">
        <f t="shared" si="3"/>
        <v>66.31</v>
      </c>
      <c r="S122" s="6" t="s">
        <v>86</v>
      </c>
      <c r="T122" s="5" t="s">
        <v>31</v>
      </c>
      <c r="U122" s="6">
        <v>4</v>
      </c>
    </row>
    <row r="123" spans="1:21" x14ac:dyDescent="0.45">
      <c r="A123" s="2" t="s">
        <v>336</v>
      </c>
      <c r="B123" s="20" t="s">
        <v>337</v>
      </c>
      <c r="C123" s="20">
        <f t="shared" si="2"/>
        <v>45441</v>
      </c>
      <c r="D123" s="2" t="s">
        <v>44</v>
      </c>
      <c r="E123" s="2" t="s">
        <v>45</v>
      </c>
      <c r="F123" s="2" t="s">
        <v>46</v>
      </c>
      <c r="G123" s="2" t="s">
        <v>25</v>
      </c>
      <c r="H123" s="2" t="s">
        <v>74</v>
      </c>
      <c r="I123" s="2" t="s">
        <v>75</v>
      </c>
      <c r="J123" s="2" t="s">
        <v>76</v>
      </c>
      <c r="K123" s="2" t="s">
        <v>77</v>
      </c>
      <c r="L123" s="2">
        <v>3</v>
      </c>
      <c r="M123" s="3">
        <v>320</v>
      </c>
      <c r="N123" s="4">
        <v>5</v>
      </c>
      <c r="O123" s="23">
        <v>48</v>
      </c>
      <c r="P123" s="23">
        <v>10</v>
      </c>
      <c r="Q123" s="23">
        <v>922</v>
      </c>
      <c r="R123" s="23">
        <f t="shared" si="3"/>
        <v>182.4</v>
      </c>
      <c r="S123" s="2" t="s">
        <v>86</v>
      </c>
      <c r="T123" s="12" t="s">
        <v>206</v>
      </c>
      <c r="U123" s="2"/>
    </row>
    <row r="124" spans="1:21" x14ac:dyDescent="0.45">
      <c r="A124" s="6" t="s">
        <v>338</v>
      </c>
      <c r="B124" s="21" t="s">
        <v>339</v>
      </c>
      <c r="C124" s="20">
        <f t="shared" si="2"/>
        <v>45525</v>
      </c>
      <c r="D124" s="6" t="s">
        <v>44</v>
      </c>
      <c r="E124" s="6" t="s">
        <v>45</v>
      </c>
      <c r="F124" s="6" t="s">
        <v>46</v>
      </c>
      <c r="G124" s="6" t="s">
        <v>25</v>
      </c>
      <c r="H124" s="6" t="s">
        <v>132</v>
      </c>
      <c r="I124" s="6" t="s">
        <v>133</v>
      </c>
      <c r="J124" s="6" t="s">
        <v>28</v>
      </c>
      <c r="K124" s="6" t="s">
        <v>134</v>
      </c>
      <c r="L124" s="6">
        <v>4</v>
      </c>
      <c r="M124" s="7">
        <v>1299</v>
      </c>
      <c r="N124" s="8">
        <v>0</v>
      </c>
      <c r="O124" s="24">
        <v>0</v>
      </c>
      <c r="P124" s="24">
        <v>15</v>
      </c>
      <c r="Q124" s="24">
        <v>5211</v>
      </c>
      <c r="R124" s="23">
        <f t="shared" si="3"/>
        <v>1039.2</v>
      </c>
      <c r="S124" s="6" t="s">
        <v>86</v>
      </c>
      <c r="T124" s="5" t="s">
        <v>31</v>
      </c>
      <c r="U124" s="6">
        <v>1</v>
      </c>
    </row>
    <row r="125" spans="1:21" x14ac:dyDescent="0.45">
      <c r="A125" s="2" t="s">
        <v>340</v>
      </c>
      <c r="B125" s="20" t="s">
        <v>341</v>
      </c>
      <c r="C125" s="20">
        <f t="shared" si="2"/>
        <v>45433</v>
      </c>
      <c r="D125" s="2" t="s">
        <v>53</v>
      </c>
      <c r="E125" s="2" t="s">
        <v>54</v>
      </c>
      <c r="F125" s="2" t="s">
        <v>55</v>
      </c>
      <c r="G125" s="2" t="s">
        <v>25</v>
      </c>
      <c r="H125" s="2" t="s">
        <v>56</v>
      </c>
      <c r="I125" s="2" t="s">
        <v>57</v>
      </c>
      <c r="J125" s="2" t="s">
        <v>58</v>
      </c>
      <c r="K125" s="2" t="s">
        <v>59</v>
      </c>
      <c r="L125" s="2">
        <v>5</v>
      </c>
      <c r="M125" s="3">
        <v>79</v>
      </c>
      <c r="N125" s="4">
        <v>0</v>
      </c>
      <c r="O125" s="23">
        <v>0</v>
      </c>
      <c r="P125" s="23">
        <v>0</v>
      </c>
      <c r="Q125" s="23">
        <v>395</v>
      </c>
      <c r="R125" s="23">
        <f t="shared" si="3"/>
        <v>79</v>
      </c>
      <c r="S125" s="2" t="s">
        <v>50</v>
      </c>
      <c r="T125" s="5" t="s">
        <v>31</v>
      </c>
      <c r="U125" s="2">
        <v>5</v>
      </c>
    </row>
    <row r="126" spans="1:21" x14ac:dyDescent="0.45">
      <c r="A126" s="6" t="s">
        <v>342</v>
      </c>
      <c r="B126" s="21" t="s">
        <v>343</v>
      </c>
      <c r="C126" s="20">
        <f t="shared" si="2"/>
        <v>45588</v>
      </c>
      <c r="D126" s="6" t="s">
        <v>104</v>
      </c>
      <c r="E126" s="6" t="s">
        <v>105</v>
      </c>
      <c r="F126" s="6" t="s">
        <v>106</v>
      </c>
      <c r="G126" s="6" t="s">
        <v>25</v>
      </c>
      <c r="H126" s="6" t="s">
        <v>195</v>
      </c>
      <c r="I126" s="6" t="s">
        <v>196</v>
      </c>
      <c r="J126" s="6" t="s">
        <v>67</v>
      </c>
      <c r="K126" s="6" t="s">
        <v>197</v>
      </c>
      <c r="L126" s="6">
        <v>2</v>
      </c>
      <c r="M126" s="7">
        <v>750</v>
      </c>
      <c r="N126" s="8">
        <v>5</v>
      </c>
      <c r="O126" s="24">
        <v>75</v>
      </c>
      <c r="P126" s="24">
        <v>15</v>
      </c>
      <c r="Q126" s="24">
        <v>1440</v>
      </c>
      <c r="R126" s="23">
        <f t="shared" si="3"/>
        <v>285</v>
      </c>
      <c r="S126" s="6" t="s">
        <v>50</v>
      </c>
      <c r="T126" s="5" t="s">
        <v>31</v>
      </c>
      <c r="U126" s="6">
        <v>5</v>
      </c>
    </row>
    <row r="127" spans="1:21" x14ac:dyDescent="0.45">
      <c r="A127" s="2" t="s">
        <v>344</v>
      </c>
      <c r="B127" s="20" t="s">
        <v>345</v>
      </c>
      <c r="C127" s="20">
        <f t="shared" si="2"/>
        <v>45570</v>
      </c>
      <c r="D127" s="2" t="s">
        <v>53</v>
      </c>
      <c r="E127" s="2" t="s">
        <v>54</v>
      </c>
      <c r="F127" s="2" t="s">
        <v>55</v>
      </c>
      <c r="G127" s="2" t="s">
        <v>25</v>
      </c>
      <c r="H127" s="2" t="s">
        <v>140</v>
      </c>
      <c r="I127" s="2" t="s">
        <v>141</v>
      </c>
      <c r="J127" s="2" t="s">
        <v>39</v>
      </c>
      <c r="K127" s="2" t="s">
        <v>142</v>
      </c>
      <c r="L127" s="2">
        <v>3</v>
      </c>
      <c r="M127" s="3">
        <v>180</v>
      </c>
      <c r="N127" s="4">
        <v>20</v>
      </c>
      <c r="O127" s="23">
        <v>108</v>
      </c>
      <c r="P127" s="23">
        <v>0</v>
      </c>
      <c r="Q127" s="23">
        <v>432</v>
      </c>
      <c r="R127" s="23">
        <f t="shared" si="3"/>
        <v>86.4</v>
      </c>
      <c r="S127" s="2" t="s">
        <v>86</v>
      </c>
      <c r="T127" s="12" t="s">
        <v>206</v>
      </c>
      <c r="U127" s="2"/>
    </row>
    <row r="128" spans="1:21" x14ac:dyDescent="0.45">
      <c r="A128" s="6" t="s">
        <v>346</v>
      </c>
      <c r="B128" s="21" t="s">
        <v>347</v>
      </c>
      <c r="C128" s="20">
        <f t="shared" si="2"/>
        <v>45584</v>
      </c>
      <c r="D128" s="6" t="s">
        <v>53</v>
      </c>
      <c r="E128" s="6" t="s">
        <v>54</v>
      </c>
      <c r="F128" s="6" t="s">
        <v>55</v>
      </c>
      <c r="G128" s="6" t="s">
        <v>25</v>
      </c>
      <c r="H128" s="6" t="s">
        <v>47</v>
      </c>
      <c r="I128" s="6" t="s">
        <v>48</v>
      </c>
      <c r="J128" s="6" t="s">
        <v>28</v>
      </c>
      <c r="K128" s="6" t="s">
        <v>49</v>
      </c>
      <c r="L128" s="6">
        <v>4</v>
      </c>
      <c r="M128" s="7">
        <v>349</v>
      </c>
      <c r="N128" s="8">
        <v>0</v>
      </c>
      <c r="O128" s="24">
        <v>0</v>
      </c>
      <c r="P128" s="24">
        <v>5</v>
      </c>
      <c r="Q128" s="24">
        <v>1401</v>
      </c>
      <c r="R128" s="23">
        <f t="shared" si="3"/>
        <v>279.2</v>
      </c>
      <c r="S128" s="6" t="s">
        <v>187</v>
      </c>
      <c r="T128" s="10" t="s">
        <v>78</v>
      </c>
      <c r="U128" s="6"/>
    </row>
    <row r="129" spans="1:21" x14ac:dyDescent="0.45">
      <c r="A129" s="2" t="s">
        <v>348</v>
      </c>
      <c r="B129" s="20" t="s">
        <v>220</v>
      </c>
      <c r="C129" s="20">
        <f t="shared" si="2"/>
        <v>45489</v>
      </c>
      <c r="D129" s="2" t="s">
        <v>123</v>
      </c>
      <c r="E129" s="2" t="s">
        <v>124</v>
      </c>
      <c r="F129" s="2" t="s">
        <v>125</v>
      </c>
      <c r="G129" s="2" t="s">
        <v>25</v>
      </c>
      <c r="H129" s="2" t="s">
        <v>140</v>
      </c>
      <c r="I129" s="2" t="s">
        <v>141</v>
      </c>
      <c r="J129" s="2" t="s">
        <v>39</v>
      </c>
      <c r="K129" s="2" t="s">
        <v>142</v>
      </c>
      <c r="L129" s="2">
        <v>1</v>
      </c>
      <c r="M129" s="3">
        <v>180</v>
      </c>
      <c r="N129" s="4">
        <v>0</v>
      </c>
      <c r="O129" s="23">
        <v>0</v>
      </c>
      <c r="P129" s="23">
        <v>15</v>
      </c>
      <c r="Q129" s="23">
        <v>195</v>
      </c>
      <c r="R129" s="23">
        <f t="shared" si="3"/>
        <v>36</v>
      </c>
      <c r="S129" s="2" t="s">
        <v>50</v>
      </c>
      <c r="T129" s="9" t="s">
        <v>60</v>
      </c>
      <c r="U129" s="2"/>
    </row>
    <row r="130" spans="1:21" x14ac:dyDescent="0.45">
      <c r="A130" s="6" t="s">
        <v>349</v>
      </c>
      <c r="B130" s="21" t="s">
        <v>350</v>
      </c>
      <c r="C130" s="20">
        <f t="shared" si="2"/>
        <v>45343</v>
      </c>
      <c r="D130" s="6" t="s">
        <v>104</v>
      </c>
      <c r="E130" s="6" t="s">
        <v>105</v>
      </c>
      <c r="F130" s="6" t="s">
        <v>106</v>
      </c>
      <c r="G130" s="6" t="s">
        <v>25</v>
      </c>
      <c r="H130" s="6" t="s">
        <v>150</v>
      </c>
      <c r="I130" s="6" t="s">
        <v>151</v>
      </c>
      <c r="J130" s="6" t="s">
        <v>28</v>
      </c>
      <c r="K130" s="6" t="s">
        <v>68</v>
      </c>
      <c r="L130" s="6">
        <v>5</v>
      </c>
      <c r="M130" s="7">
        <v>849</v>
      </c>
      <c r="N130" s="8">
        <v>5</v>
      </c>
      <c r="O130" s="24">
        <v>212.25</v>
      </c>
      <c r="P130" s="24">
        <v>0</v>
      </c>
      <c r="Q130" s="24">
        <v>4032.75</v>
      </c>
      <c r="R130" s="23">
        <f t="shared" si="3"/>
        <v>806.55000000000007</v>
      </c>
      <c r="S130" s="6" t="s">
        <v>187</v>
      </c>
      <c r="T130" s="10" t="s">
        <v>78</v>
      </c>
      <c r="U130" s="6"/>
    </row>
    <row r="131" spans="1:21" x14ac:dyDescent="0.45">
      <c r="A131" s="2" t="s">
        <v>351</v>
      </c>
      <c r="B131" s="20" t="s">
        <v>230</v>
      </c>
      <c r="C131" s="20">
        <f t="shared" si="2"/>
        <v>45627</v>
      </c>
      <c r="D131" s="2" t="s">
        <v>123</v>
      </c>
      <c r="E131" s="2" t="s">
        <v>124</v>
      </c>
      <c r="F131" s="2" t="s">
        <v>125</v>
      </c>
      <c r="G131" s="2" t="s">
        <v>25</v>
      </c>
      <c r="H131" s="2" t="s">
        <v>150</v>
      </c>
      <c r="I131" s="2" t="s">
        <v>151</v>
      </c>
      <c r="J131" s="2" t="s">
        <v>28</v>
      </c>
      <c r="K131" s="2" t="s">
        <v>68</v>
      </c>
      <c r="L131" s="2">
        <v>4</v>
      </c>
      <c r="M131" s="3">
        <v>849</v>
      </c>
      <c r="N131" s="4">
        <v>20</v>
      </c>
      <c r="O131" s="23">
        <v>679.2</v>
      </c>
      <c r="P131" s="23">
        <v>5</v>
      </c>
      <c r="Q131" s="23">
        <v>2721.8</v>
      </c>
      <c r="R131" s="23">
        <f t="shared" si="3"/>
        <v>543.36</v>
      </c>
      <c r="S131" s="2" t="s">
        <v>187</v>
      </c>
      <c r="T131" s="5" t="s">
        <v>31</v>
      </c>
      <c r="U131" s="2">
        <v>1</v>
      </c>
    </row>
    <row r="132" spans="1:21" x14ac:dyDescent="0.45">
      <c r="A132" s="6" t="s">
        <v>352</v>
      </c>
      <c r="B132" s="21" t="s">
        <v>214</v>
      </c>
      <c r="C132" s="20">
        <f t="shared" ref="C132:C195" si="4">DATEVALUE(B132)</f>
        <v>45460</v>
      </c>
      <c r="D132" s="6" t="s">
        <v>44</v>
      </c>
      <c r="E132" s="6" t="s">
        <v>45</v>
      </c>
      <c r="F132" s="6" t="s">
        <v>46</v>
      </c>
      <c r="G132" s="6" t="s">
        <v>25</v>
      </c>
      <c r="H132" s="6" t="s">
        <v>37</v>
      </c>
      <c r="I132" s="6" t="s">
        <v>38</v>
      </c>
      <c r="J132" s="6" t="s">
        <v>39</v>
      </c>
      <c r="K132" s="6" t="s">
        <v>40</v>
      </c>
      <c r="L132" s="6">
        <v>3</v>
      </c>
      <c r="M132" s="7">
        <v>150</v>
      </c>
      <c r="N132" s="8">
        <v>15</v>
      </c>
      <c r="O132" s="24">
        <v>67.5</v>
      </c>
      <c r="P132" s="24">
        <v>10</v>
      </c>
      <c r="Q132" s="24">
        <v>392.5</v>
      </c>
      <c r="R132" s="23">
        <f t="shared" ref="R132:R195" si="5">(Q132-P132) * 0.2</f>
        <v>76.5</v>
      </c>
      <c r="S132" s="6" t="s">
        <v>30</v>
      </c>
      <c r="T132" s="11" t="s">
        <v>92</v>
      </c>
      <c r="U132" s="6"/>
    </row>
    <row r="133" spans="1:21" x14ac:dyDescent="0.45">
      <c r="A133" s="2" t="s">
        <v>353</v>
      </c>
      <c r="B133" s="20" t="s">
        <v>354</v>
      </c>
      <c r="C133" s="20">
        <f t="shared" si="4"/>
        <v>45608</v>
      </c>
      <c r="D133" s="2" t="s">
        <v>22</v>
      </c>
      <c r="E133" s="2" t="s">
        <v>23</v>
      </c>
      <c r="F133" s="2" t="s">
        <v>24</v>
      </c>
      <c r="G133" s="2" t="s">
        <v>25</v>
      </c>
      <c r="H133" s="2" t="s">
        <v>47</v>
      </c>
      <c r="I133" s="2" t="s">
        <v>48</v>
      </c>
      <c r="J133" s="2" t="s">
        <v>28</v>
      </c>
      <c r="K133" s="2" t="s">
        <v>49</v>
      </c>
      <c r="L133" s="2">
        <v>3</v>
      </c>
      <c r="M133" s="3">
        <v>349</v>
      </c>
      <c r="N133" s="4">
        <v>0</v>
      </c>
      <c r="O133" s="23">
        <v>0</v>
      </c>
      <c r="P133" s="23">
        <v>0</v>
      </c>
      <c r="Q133" s="23">
        <v>1047</v>
      </c>
      <c r="R133" s="23">
        <f t="shared" si="5"/>
        <v>209.4</v>
      </c>
      <c r="S133" s="2" t="s">
        <v>30</v>
      </c>
      <c r="T133" s="5" t="s">
        <v>31</v>
      </c>
      <c r="U133" s="2">
        <v>1</v>
      </c>
    </row>
    <row r="134" spans="1:21" x14ac:dyDescent="0.45">
      <c r="A134" s="6" t="s">
        <v>355</v>
      </c>
      <c r="B134" s="21" t="s">
        <v>356</v>
      </c>
      <c r="C134" s="20">
        <f t="shared" si="4"/>
        <v>45519</v>
      </c>
      <c r="D134" s="6" t="s">
        <v>123</v>
      </c>
      <c r="E134" s="6" t="s">
        <v>124</v>
      </c>
      <c r="F134" s="6" t="s">
        <v>125</v>
      </c>
      <c r="G134" s="6" t="s">
        <v>25</v>
      </c>
      <c r="H134" s="6" t="s">
        <v>74</v>
      </c>
      <c r="I134" s="6" t="s">
        <v>75</v>
      </c>
      <c r="J134" s="6" t="s">
        <v>76</v>
      </c>
      <c r="K134" s="6" t="s">
        <v>77</v>
      </c>
      <c r="L134" s="6">
        <v>3</v>
      </c>
      <c r="M134" s="7">
        <v>320</v>
      </c>
      <c r="N134" s="8">
        <v>0</v>
      </c>
      <c r="O134" s="24">
        <v>0</v>
      </c>
      <c r="P134" s="24">
        <v>0</v>
      </c>
      <c r="Q134" s="24">
        <v>960</v>
      </c>
      <c r="R134" s="23">
        <f t="shared" si="5"/>
        <v>192</v>
      </c>
      <c r="S134" s="6" t="s">
        <v>30</v>
      </c>
      <c r="T134" s="5" t="s">
        <v>31</v>
      </c>
      <c r="U134" s="6">
        <v>3</v>
      </c>
    </row>
    <row r="135" spans="1:21" x14ac:dyDescent="0.45">
      <c r="A135" s="2" t="s">
        <v>357</v>
      </c>
      <c r="B135" s="20" t="s">
        <v>358</v>
      </c>
      <c r="C135" s="20">
        <f t="shared" si="4"/>
        <v>45475</v>
      </c>
      <c r="D135" s="2" t="s">
        <v>137</v>
      </c>
      <c r="E135" s="2" t="s">
        <v>138</v>
      </c>
      <c r="F135" s="2" t="s">
        <v>139</v>
      </c>
      <c r="G135" s="2" t="s">
        <v>25</v>
      </c>
      <c r="H135" s="2" t="s">
        <v>37</v>
      </c>
      <c r="I135" s="2" t="s">
        <v>38</v>
      </c>
      <c r="J135" s="2" t="s">
        <v>39</v>
      </c>
      <c r="K135" s="2" t="s">
        <v>40</v>
      </c>
      <c r="L135" s="2">
        <v>2</v>
      </c>
      <c r="M135" s="3">
        <v>150</v>
      </c>
      <c r="N135" s="4">
        <v>0</v>
      </c>
      <c r="O135" s="23">
        <v>0</v>
      </c>
      <c r="P135" s="23">
        <v>15</v>
      </c>
      <c r="Q135" s="23">
        <v>315</v>
      </c>
      <c r="R135" s="23">
        <f t="shared" si="5"/>
        <v>60</v>
      </c>
      <c r="S135" s="2" t="s">
        <v>86</v>
      </c>
      <c r="T135" s="5" t="s">
        <v>31</v>
      </c>
      <c r="U135" s="2">
        <v>2</v>
      </c>
    </row>
    <row r="136" spans="1:21" x14ac:dyDescent="0.45">
      <c r="A136" s="6" t="s">
        <v>359</v>
      </c>
      <c r="B136" s="21" t="s">
        <v>360</v>
      </c>
      <c r="C136" s="20">
        <f t="shared" si="4"/>
        <v>45381</v>
      </c>
      <c r="D136" s="6" t="s">
        <v>22</v>
      </c>
      <c r="E136" s="6" t="s">
        <v>23</v>
      </c>
      <c r="F136" s="6" t="s">
        <v>24</v>
      </c>
      <c r="G136" s="6" t="s">
        <v>25</v>
      </c>
      <c r="H136" s="6" t="s">
        <v>178</v>
      </c>
      <c r="I136" s="6" t="s">
        <v>179</v>
      </c>
      <c r="J136" s="6" t="s">
        <v>128</v>
      </c>
      <c r="K136" s="6" t="s">
        <v>180</v>
      </c>
      <c r="L136" s="6">
        <v>4</v>
      </c>
      <c r="M136" s="7">
        <v>28</v>
      </c>
      <c r="N136" s="8">
        <v>10</v>
      </c>
      <c r="O136" s="24">
        <v>11.2</v>
      </c>
      <c r="P136" s="24">
        <v>0</v>
      </c>
      <c r="Q136" s="24">
        <v>100.8</v>
      </c>
      <c r="R136" s="23">
        <f t="shared" si="5"/>
        <v>20.16</v>
      </c>
      <c r="S136" s="6" t="s">
        <v>41</v>
      </c>
      <c r="T136" s="5" t="s">
        <v>31</v>
      </c>
      <c r="U136" s="6">
        <v>2</v>
      </c>
    </row>
    <row r="137" spans="1:21" x14ac:dyDescent="0.45">
      <c r="A137" s="2" t="s">
        <v>361</v>
      </c>
      <c r="B137" s="20" t="s">
        <v>362</v>
      </c>
      <c r="C137" s="20">
        <f t="shared" si="4"/>
        <v>45410</v>
      </c>
      <c r="D137" s="2" t="s">
        <v>104</v>
      </c>
      <c r="E137" s="2" t="s">
        <v>105</v>
      </c>
      <c r="F137" s="2" t="s">
        <v>106</v>
      </c>
      <c r="G137" s="2" t="s">
        <v>25</v>
      </c>
      <c r="H137" s="2" t="s">
        <v>115</v>
      </c>
      <c r="I137" s="2" t="s">
        <v>116</v>
      </c>
      <c r="J137" s="2" t="s">
        <v>117</v>
      </c>
      <c r="K137" s="2" t="s">
        <v>118</v>
      </c>
      <c r="L137" s="2">
        <v>3</v>
      </c>
      <c r="M137" s="3">
        <v>120</v>
      </c>
      <c r="N137" s="4">
        <v>5</v>
      </c>
      <c r="O137" s="23">
        <v>18</v>
      </c>
      <c r="P137" s="23">
        <v>5</v>
      </c>
      <c r="Q137" s="23">
        <v>347</v>
      </c>
      <c r="R137" s="23">
        <f t="shared" si="5"/>
        <v>68.400000000000006</v>
      </c>
      <c r="S137" s="2" t="s">
        <v>187</v>
      </c>
      <c r="T137" s="10" t="s">
        <v>78</v>
      </c>
      <c r="U137" s="2"/>
    </row>
    <row r="138" spans="1:21" x14ac:dyDescent="0.45">
      <c r="A138" s="6" t="s">
        <v>363</v>
      </c>
      <c r="B138" s="21" t="s">
        <v>364</v>
      </c>
      <c r="C138" s="20">
        <f t="shared" si="4"/>
        <v>45439</v>
      </c>
      <c r="D138" s="6" t="s">
        <v>44</v>
      </c>
      <c r="E138" s="6" t="s">
        <v>45</v>
      </c>
      <c r="F138" s="6" t="s">
        <v>46</v>
      </c>
      <c r="G138" s="6" t="s">
        <v>25</v>
      </c>
      <c r="H138" s="6" t="s">
        <v>132</v>
      </c>
      <c r="I138" s="6" t="s">
        <v>133</v>
      </c>
      <c r="J138" s="6" t="s">
        <v>28</v>
      </c>
      <c r="K138" s="6" t="s">
        <v>134</v>
      </c>
      <c r="L138" s="6">
        <v>1</v>
      </c>
      <c r="M138" s="7">
        <v>1299</v>
      </c>
      <c r="N138" s="8">
        <v>5</v>
      </c>
      <c r="O138" s="24">
        <v>64.95</v>
      </c>
      <c r="P138" s="24">
        <v>5</v>
      </c>
      <c r="Q138" s="24">
        <v>1239.05</v>
      </c>
      <c r="R138" s="23">
        <f t="shared" si="5"/>
        <v>246.81</v>
      </c>
      <c r="S138" s="6" t="s">
        <v>50</v>
      </c>
      <c r="T138" s="12" t="s">
        <v>206</v>
      </c>
      <c r="U138" s="6"/>
    </row>
    <row r="139" spans="1:21" x14ac:dyDescent="0.45">
      <c r="A139" s="2" t="s">
        <v>365</v>
      </c>
      <c r="B139" s="20" t="s">
        <v>21</v>
      </c>
      <c r="C139" s="20">
        <f t="shared" si="4"/>
        <v>45619</v>
      </c>
      <c r="D139" s="2" t="s">
        <v>53</v>
      </c>
      <c r="E139" s="2" t="s">
        <v>54</v>
      </c>
      <c r="F139" s="2" t="s">
        <v>55</v>
      </c>
      <c r="G139" s="2" t="s">
        <v>25</v>
      </c>
      <c r="H139" s="2" t="s">
        <v>74</v>
      </c>
      <c r="I139" s="2" t="s">
        <v>75</v>
      </c>
      <c r="J139" s="2" t="s">
        <v>76</v>
      </c>
      <c r="K139" s="2" t="s">
        <v>77</v>
      </c>
      <c r="L139" s="2">
        <v>3</v>
      </c>
      <c r="M139" s="3">
        <v>320</v>
      </c>
      <c r="N139" s="4">
        <v>5</v>
      </c>
      <c r="O139" s="23">
        <v>48</v>
      </c>
      <c r="P139" s="23">
        <v>5</v>
      </c>
      <c r="Q139" s="23">
        <v>917</v>
      </c>
      <c r="R139" s="23">
        <f t="shared" si="5"/>
        <v>182.4</v>
      </c>
      <c r="S139" s="2" t="s">
        <v>187</v>
      </c>
      <c r="T139" s="5" t="s">
        <v>31</v>
      </c>
      <c r="U139" s="2">
        <v>4</v>
      </c>
    </row>
    <row r="140" spans="1:21" x14ac:dyDescent="0.45">
      <c r="A140" s="6" t="s">
        <v>366</v>
      </c>
      <c r="B140" s="21" t="s">
        <v>367</v>
      </c>
      <c r="C140" s="20">
        <f t="shared" si="4"/>
        <v>45346</v>
      </c>
      <c r="D140" s="6" t="s">
        <v>71</v>
      </c>
      <c r="E140" s="6" t="s">
        <v>72</v>
      </c>
      <c r="F140" s="6" t="s">
        <v>73</v>
      </c>
      <c r="G140" s="6" t="s">
        <v>25</v>
      </c>
      <c r="H140" s="6" t="s">
        <v>37</v>
      </c>
      <c r="I140" s="6" t="s">
        <v>38</v>
      </c>
      <c r="J140" s="6" t="s">
        <v>39</v>
      </c>
      <c r="K140" s="6" t="s">
        <v>40</v>
      </c>
      <c r="L140" s="6">
        <v>5</v>
      </c>
      <c r="M140" s="7">
        <v>150</v>
      </c>
      <c r="N140" s="8">
        <v>0</v>
      </c>
      <c r="O140" s="24">
        <v>0</v>
      </c>
      <c r="P140" s="24">
        <v>15</v>
      </c>
      <c r="Q140" s="24">
        <v>765</v>
      </c>
      <c r="R140" s="23">
        <f t="shared" si="5"/>
        <v>150</v>
      </c>
      <c r="S140" s="6" t="s">
        <v>50</v>
      </c>
      <c r="T140" s="5" t="s">
        <v>31</v>
      </c>
      <c r="U140" s="6">
        <v>1</v>
      </c>
    </row>
    <row r="141" spans="1:21" x14ac:dyDescent="0.45">
      <c r="A141" s="2" t="s">
        <v>368</v>
      </c>
      <c r="B141" s="20" t="s">
        <v>369</v>
      </c>
      <c r="C141" s="20">
        <f t="shared" si="4"/>
        <v>45629</v>
      </c>
      <c r="D141" s="2" t="s">
        <v>53</v>
      </c>
      <c r="E141" s="2" t="s">
        <v>54</v>
      </c>
      <c r="F141" s="2" t="s">
        <v>55</v>
      </c>
      <c r="G141" s="2" t="s">
        <v>25</v>
      </c>
      <c r="H141" s="2" t="s">
        <v>89</v>
      </c>
      <c r="I141" s="2" t="s">
        <v>90</v>
      </c>
      <c r="J141" s="2" t="s">
        <v>58</v>
      </c>
      <c r="K141" s="2" t="s">
        <v>91</v>
      </c>
      <c r="L141" s="2">
        <v>1</v>
      </c>
      <c r="M141" s="3">
        <v>29</v>
      </c>
      <c r="N141" s="4">
        <v>10</v>
      </c>
      <c r="O141" s="23">
        <v>2.9</v>
      </c>
      <c r="P141" s="23">
        <v>0</v>
      </c>
      <c r="Q141" s="23">
        <v>26.1</v>
      </c>
      <c r="R141" s="23">
        <f t="shared" si="5"/>
        <v>5.2200000000000006</v>
      </c>
      <c r="S141" s="2" t="s">
        <v>187</v>
      </c>
      <c r="T141" s="9" t="s">
        <v>60</v>
      </c>
      <c r="U141" s="2"/>
    </row>
    <row r="142" spans="1:21" x14ac:dyDescent="0.45">
      <c r="A142" s="6" t="s">
        <v>370</v>
      </c>
      <c r="B142" s="21" t="s">
        <v>371</v>
      </c>
      <c r="C142" s="20">
        <f t="shared" si="4"/>
        <v>45438</v>
      </c>
      <c r="D142" s="6" t="s">
        <v>71</v>
      </c>
      <c r="E142" s="6" t="s">
        <v>72</v>
      </c>
      <c r="F142" s="6" t="s">
        <v>73</v>
      </c>
      <c r="G142" s="6" t="s">
        <v>25</v>
      </c>
      <c r="H142" s="6" t="s">
        <v>178</v>
      </c>
      <c r="I142" s="6" t="s">
        <v>179</v>
      </c>
      <c r="J142" s="6" t="s">
        <v>128</v>
      </c>
      <c r="K142" s="6" t="s">
        <v>180</v>
      </c>
      <c r="L142" s="6">
        <v>3</v>
      </c>
      <c r="M142" s="7">
        <v>28</v>
      </c>
      <c r="N142" s="8">
        <v>0</v>
      </c>
      <c r="O142" s="24">
        <v>0</v>
      </c>
      <c r="P142" s="24">
        <v>0</v>
      </c>
      <c r="Q142" s="24">
        <v>84</v>
      </c>
      <c r="R142" s="23">
        <f t="shared" si="5"/>
        <v>16.8</v>
      </c>
      <c r="S142" s="6" t="s">
        <v>86</v>
      </c>
      <c r="T142" s="5" t="s">
        <v>31</v>
      </c>
      <c r="U142" s="6">
        <v>1</v>
      </c>
    </row>
    <row r="143" spans="1:21" x14ac:dyDescent="0.45">
      <c r="A143" s="2" t="s">
        <v>372</v>
      </c>
      <c r="B143" s="20" t="s">
        <v>373</v>
      </c>
      <c r="C143" s="20">
        <f t="shared" si="4"/>
        <v>45613</v>
      </c>
      <c r="D143" s="2" t="s">
        <v>95</v>
      </c>
      <c r="E143" s="2" t="s">
        <v>96</v>
      </c>
      <c r="F143" s="2" t="s">
        <v>97</v>
      </c>
      <c r="G143" s="2" t="s">
        <v>25</v>
      </c>
      <c r="H143" s="2" t="s">
        <v>89</v>
      </c>
      <c r="I143" s="2" t="s">
        <v>90</v>
      </c>
      <c r="J143" s="2" t="s">
        <v>58</v>
      </c>
      <c r="K143" s="2" t="s">
        <v>91</v>
      </c>
      <c r="L143" s="2">
        <v>4</v>
      </c>
      <c r="M143" s="3">
        <v>29</v>
      </c>
      <c r="N143" s="4">
        <v>0</v>
      </c>
      <c r="O143" s="23">
        <v>0</v>
      </c>
      <c r="P143" s="23">
        <v>15</v>
      </c>
      <c r="Q143" s="23">
        <v>131</v>
      </c>
      <c r="R143" s="23">
        <f t="shared" si="5"/>
        <v>23.200000000000003</v>
      </c>
      <c r="S143" s="2" t="s">
        <v>86</v>
      </c>
      <c r="T143" s="5" t="s">
        <v>31</v>
      </c>
      <c r="U143" s="2">
        <v>1</v>
      </c>
    </row>
    <row r="144" spans="1:21" x14ac:dyDescent="0.45">
      <c r="A144" s="6" t="s">
        <v>374</v>
      </c>
      <c r="B144" s="21" t="s">
        <v>375</v>
      </c>
      <c r="C144" s="20">
        <f t="shared" si="4"/>
        <v>45443</v>
      </c>
      <c r="D144" s="6" t="s">
        <v>137</v>
      </c>
      <c r="E144" s="6" t="s">
        <v>138</v>
      </c>
      <c r="F144" s="6" t="s">
        <v>139</v>
      </c>
      <c r="G144" s="6" t="s">
        <v>25</v>
      </c>
      <c r="H144" s="6" t="s">
        <v>74</v>
      </c>
      <c r="I144" s="6" t="s">
        <v>75</v>
      </c>
      <c r="J144" s="6" t="s">
        <v>76</v>
      </c>
      <c r="K144" s="6" t="s">
        <v>77</v>
      </c>
      <c r="L144" s="6">
        <v>4</v>
      </c>
      <c r="M144" s="7">
        <v>320</v>
      </c>
      <c r="N144" s="8">
        <v>0</v>
      </c>
      <c r="O144" s="24">
        <v>0</v>
      </c>
      <c r="P144" s="24">
        <v>0</v>
      </c>
      <c r="Q144" s="24">
        <v>1280</v>
      </c>
      <c r="R144" s="23">
        <f t="shared" si="5"/>
        <v>256</v>
      </c>
      <c r="S144" s="6" t="s">
        <v>41</v>
      </c>
      <c r="T144" s="5" t="s">
        <v>31</v>
      </c>
      <c r="U144" s="6">
        <v>3</v>
      </c>
    </row>
    <row r="145" spans="1:21" x14ac:dyDescent="0.45">
      <c r="A145" s="2" t="s">
        <v>376</v>
      </c>
      <c r="B145" s="20" t="s">
        <v>377</v>
      </c>
      <c r="C145" s="20">
        <f t="shared" si="4"/>
        <v>45563</v>
      </c>
      <c r="D145" s="2" t="s">
        <v>44</v>
      </c>
      <c r="E145" s="2" t="s">
        <v>45</v>
      </c>
      <c r="F145" s="2" t="s">
        <v>46</v>
      </c>
      <c r="G145" s="2" t="s">
        <v>25</v>
      </c>
      <c r="H145" s="2" t="s">
        <v>65</v>
      </c>
      <c r="I145" s="2" t="s">
        <v>66</v>
      </c>
      <c r="J145" s="2" t="s">
        <v>67</v>
      </c>
      <c r="K145" s="2" t="s">
        <v>68</v>
      </c>
      <c r="L145" s="2">
        <v>3</v>
      </c>
      <c r="M145" s="3">
        <v>1200</v>
      </c>
      <c r="N145" s="4">
        <v>20</v>
      </c>
      <c r="O145" s="23">
        <v>720</v>
      </c>
      <c r="P145" s="23">
        <v>0</v>
      </c>
      <c r="Q145" s="23">
        <v>2880</v>
      </c>
      <c r="R145" s="23">
        <f t="shared" si="5"/>
        <v>576</v>
      </c>
      <c r="S145" s="2" t="s">
        <v>187</v>
      </c>
      <c r="T145" s="5" t="s">
        <v>31</v>
      </c>
      <c r="U145" s="2">
        <v>3</v>
      </c>
    </row>
    <row r="146" spans="1:21" x14ac:dyDescent="0.45">
      <c r="A146" s="6" t="s">
        <v>378</v>
      </c>
      <c r="B146" s="21" t="s">
        <v>379</v>
      </c>
      <c r="C146" s="20">
        <f t="shared" si="4"/>
        <v>45465</v>
      </c>
      <c r="D146" s="6" t="s">
        <v>22</v>
      </c>
      <c r="E146" s="6" t="s">
        <v>23</v>
      </c>
      <c r="F146" s="6" t="s">
        <v>24</v>
      </c>
      <c r="G146" s="6" t="s">
        <v>25</v>
      </c>
      <c r="H146" s="6" t="s">
        <v>140</v>
      </c>
      <c r="I146" s="6" t="s">
        <v>141</v>
      </c>
      <c r="J146" s="6" t="s">
        <v>39</v>
      </c>
      <c r="K146" s="6" t="s">
        <v>142</v>
      </c>
      <c r="L146" s="6">
        <v>1</v>
      </c>
      <c r="M146" s="7">
        <v>180</v>
      </c>
      <c r="N146" s="8">
        <v>0</v>
      </c>
      <c r="O146" s="24">
        <v>0</v>
      </c>
      <c r="P146" s="24">
        <v>0</v>
      </c>
      <c r="Q146" s="24">
        <v>180</v>
      </c>
      <c r="R146" s="23">
        <f t="shared" si="5"/>
        <v>36</v>
      </c>
      <c r="S146" s="6" t="s">
        <v>187</v>
      </c>
      <c r="T146" s="11" t="s">
        <v>92</v>
      </c>
      <c r="U146" s="6"/>
    </row>
    <row r="147" spans="1:21" x14ac:dyDescent="0.45">
      <c r="A147" s="2" t="s">
        <v>380</v>
      </c>
      <c r="B147" s="20" t="s">
        <v>381</v>
      </c>
      <c r="C147" s="20">
        <f t="shared" si="4"/>
        <v>45577</v>
      </c>
      <c r="D147" s="2" t="s">
        <v>137</v>
      </c>
      <c r="E147" s="2" t="s">
        <v>138</v>
      </c>
      <c r="F147" s="2" t="s">
        <v>139</v>
      </c>
      <c r="G147" s="2" t="s">
        <v>25</v>
      </c>
      <c r="H147" s="2" t="s">
        <v>150</v>
      </c>
      <c r="I147" s="2" t="s">
        <v>151</v>
      </c>
      <c r="J147" s="2" t="s">
        <v>28</v>
      </c>
      <c r="K147" s="2" t="s">
        <v>68</v>
      </c>
      <c r="L147" s="2">
        <v>4</v>
      </c>
      <c r="M147" s="3">
        <v>849</v>
      </c>
      <c r="N147" s="4">
        <v>0</v>
      </c>
      <c r="O147" s="23">
        <v>0</v>
      </c>
      <c r="P147" s="23">
        <v>5</v>
      </c>
      <c r="Q147" s="23">
        <v>3401</v>
      </c>
      <c r="R147" s="23">
        <f t="shared" si="5"/>
        <v>679.2</v>
      </c>
      <c r="S147" s="2" t="s">
        <v>187</v>
      </c>
      <c r="T147" s="5" t="s">
        <v>31</v>
      </c>
      <c r="U147" s="2">
        <v>3</v>
      </c>
    </row>
    <row r="148" spans="1:21" x14ac:dyDescent="0.45">
      <c r="A148" s="6" t="s">
        <v>382</v>
      </c>
      <c r="B148" s="21" t="s">
        <v>234</v>
      </c>
      <c r="C148" s="20">
        <f t="shared" si="4"/>
        <v>45636</v>
      </c>
      <c r="D148" s="6" t="s">
        <v>83</v>
      </c>
      <c r="E148" s="6" t="s">
        <v>84</v>
      </c>
      <c r="F148" s="6" t="s">
        <v>85</v>
      </c>
      <c r="G148" s="6" t="s">
        <v>25</v>
      </c>
      <c r="H148" s="6" t="s">
        <v>178</v>
      </c>
      <c r="I148" s="6" t="s">
        <v>179</v>
      </c>
      <c r="J148" s="6" t="s">
        <v>128</v>
      </c>
      <c r="K148" s="6" t="s">
        <v>180</v>
      </c>
      <c r="L148" s="6">
        <v>4</v>
      </c>
      <c r="M148" s="7">
        <v>28</v>
      </c>
      <c r="N148" s="8">
        <v>20</v>
      </c>
      <c r="O148" s="24">
        <v>22.4</v>
      </c>
      <c r="P148" s="24">
        <v>5</v>
      </c>
      <c r="Q148" s="24">
        <v>94.6</v>
      </c>
      <c r="R148" s="23">
        <f t="shared" si="5"/>
        <v>17.919999999999998</v>
      </c>
      <c r="S148" s="6" t="s">
        <v>86</v>
      </c>
      <c r="T148" s="5" t="s">
        <v>31</v>
      </c>
      <c r="U148" s="6">
        <v>4</v>
      </c>
    </row>
    <row r="149" spans="1:21" x14ac:dyDescent="0.45">
      <c r="A149" s="2" t="s">
        <v>383</v>
      </c>
      <c r="B149" s="20" t="s">
        <v>384</v>
      </c>
      <c r="C149" s="20">
        <f t="shared" si="4"/>
        <v>45304</v>
      </c>
      <c r="D149" s="2" t="s">
        <v>34</v>
      </c>
      <c r="E149" s="2" t="s">
        <v>35</v>
      </c>
      <c r="F149" s="2" t="s">
        <v>36</v>
      </c>
      <c r="G149" s="2" t="s">
        <v>25</v>
      </c>
      <c r="H149" s="2" t="s">
        <v>65</v>
      </c>
      <c r="I149" s="2" t="s">
        <v>66</v>
      </c>
      <c r="J149" s="2" t="s">
        <v>67</v>
      </c>
      <c r="K149" s="2" t="s">
        <v>68</v>
      </c>
      <c r="L149" s="2">
        <v>5</v>
      </c>
      <c r="M149" s="3">
        <v>1200</v>
      </c>
      <c r="N149" s="4">
        <v>0</v>
      </c>
      <c r="O149" s="23">
        <v>0</v>
      </c>
      <c r="P149" s="23">
        <v>15</v>
      </c>
      <c r="Q149" s="23">
        <v>6015</v>
      </c>
      <c r="R149" s="23">
        <f t="shared" si="5"/>
        <v>1200</v>
      </c>
      <c r="S149" s="2" t="s">
        <v>30</v>
      </c>
      <c r="T149" s="5" t="s">
        <v>31</v>
      </c>
      <c r="U149" s="2">
        <v>4</v>
      </c>
    </row>
    <row r="150" spans="1:21" x14ac:dyDescent="0.45">
      <c r="A150" s="6" t="s">
        <v>385</v>
      </c>
      <c r="B150" s="21" t="s">
        <v>386</v>
      </c>
      <c r="C150" s="20">
        <f t="shared" si="4"/>
        <v>45650</v>
      </c>
      <c r="D150" s="6" t="s">
        <v>83</v>
      </c>
      <c r="E150" s="6" t="s">
        <v>84</v>
      </c>
      <c r="F150" s="6" t="s">
        <v>85</v>
      </c>
      <c r="G150" s="6" t="s">
        <v>25</v>
      </c>
      <c r="H150" s="6" t="s">
        <v>115</v>
      </c>
      <c r="I150" s="6" t="s">
        <v>116</v>
      </c>
      <c r="J150" s="6" t="s">
        <v>117</v>
      </c>
      <c r="K150" s="6" t="s">
        <v>118</v>
      </c>
      <c r="L150" s="6">
        <v>4</v>
      </c>
      <c r="M150" s="7">
        <v>120</v>
      </c>
      <c r="N150" s="8">
        <v>0</v>
      </c>
      <c r="O150" s="24">
        <v>0</v>
      </c>
      <c r="P150" s="24">
        <v>0</v>
      </c>
      <c r="Q150" s="24">
        <v>480</v>
      </c>
      <c r="R150" s="23">
        <f t="shared" si="5"/>
        <v>96</v>
      </c>
      <c r="S150" s="6" t="s">
        <v>30</v>
      </c>
      <c r="T150" s="5" t="s">
        <v>31</v>
      </c>
      <c r="U150" s="6">
        <v>3</v>
      </c>
    </row>
    <row r="151" spans="1:21" x14ac:dyDescent="0.45">
      <c r="A151" s="2" t="s">
        <v>387</v>
      </c>
      <c r="B151" s="20" t="s">
        <v>110</v>
      </c>
      <c r="C151" s="20">
        <f t="shared" si="4"/>
        <v>45544</v>
      </c>
      <c r="D151" s="2" t="s">
        <v>22</v>
      </c>
      <c r="E151" s="2" t="s">
        <v>23</v>
      </c>
      <c r="F151" s="2" t="s">
        <v>24</v>
      </c>
      <c r="G151" s="2" t="s">
        <v>25</v>
      </c>
      <c r="H151" s="2" t="s">
        <v>150</v>
      </c>
      <c r="I151" s="2" t="s">
        <v>151</v>
      </c>
      <c r="J151" s="2" t="s">
        <v>28</v>
      </c>
      <c r="K151" s="2" t="s">
        <v>68</v>
      </c>
      <c r="L151" s="2">
        <v>2</v>
      </c>
      <c r="M151" s="3">
        <v>849</v>
      </c>
      <c r="N151" s="4">
        <v>10</v>
      </c>
      <c r="O151" s="23">
        <v>169.8</v>
      </c>
      <c r="P151" s="23">
        <v>0</v>
      </c>
      <c r="Q151" s="23">
        <v>1528.2</v>
      </c>
      <c r="R151" s="23">
        <f t="shared" si="5"/>
        <v>305.64000000000004</v>
      </c>
      <c r="S151" s="2" t="s">
        <v>50</v>
      </c>
      <c r="T151" s="5" t="s">
        <v>31</v>
      </c>
      <c r="U151" s="2">
        <v>5</v>
      </c>
    </row>
    <row r="152" spans="1:21" x14ac:dyDescent="0.45">
      <c r="A152" s="6" t="s">
        <v>388</v>
      </c>
      <c r="B152" s="21" t="s">
        <v>177</v>
      </c>
      <c r="C152" s="20">
        <f t="shared" si="4"/>
        <v>45506</v>
      </c>
      <c r="D152" s="6" t="s">
        <v>34</v>
      </c>
      <c r="E152" s="6" t="s">
        <v>35</v>
      </c>
      <c r="F152" s="6" t="s">
        <v>36</v>
      </c>
      <c r="G152" s="6" t="s">
        <v>25</v>
      </c>
      <c r="H152" s="6" t="s">
        <v>74</v>
      </c>
      <c r="I152" s="6" t="s">
        <v>75</v>
      </c>
      <c r="J152" s="6" t="s">
        <v>76</v>
      </c>
      <c r="K152" s="6" t="s">
        <v>77</v>
      </c>
      <c r="L152" s="6">
        <v>2</v>
      </c>
      <c r="M152" s="7">
        <v>320</v>
      </c>
      <c r="N152" s="8">
        <v>5</v>
      </c>
      <c r="O152" s="24">
        <v>32</v>
      </c>
      <c r="P152" s="24">
        <v>0</v>
      </c>
      <c r="Q152" s="24">
        <v>608</v>
      </c>
      <c r="R152" s="23">
        <f t="shared" si="5"/>
        <v>121.60000000000001</v>
      </c>
      <c r="S152" s="6" t="s">
        <v>41</v>
      </c>
      <c r="T152" s="11" t="s">
        <v>92</v>
      </c>
      <c r="U152" s="6"/>
    </row>
    <row r="153" spans="1:21" x14ac:dyDescent="0.45">
      <c r="A153" s="2" t="s">
        <v>389</v>
      </c>
      <c r="B153" s="20" t="s">
        <v>335</v>
      </c>
      <c r="C153" s="20">
        <f t="shared" si="4"/>
        <v>45500</v>
      </c>
      <c r="D153" s="2" t="s">
        <v>83</v>
      </c>
      <c r="E153" s="2" t="s">
        <v>84</v>
      </c>
      <c r="F153" s="2" t="s">
        <v>85</v>
      </c>
      <c r="G153" s="2" t="s">
        <v>25</v>
      </c>
      <c r="H153" s="2" t="s">
        <v>26</v>
      </c>
      <c r="I153" s="2" t="s">
        <v>27</v>
      </c>
      <c r="J153" s="2" t="s">
        <v>28</v>
      </c>
      <c r="K153" s="2" t="s">
        <v>29</v>
      </c>
      <c r="L153" s="2">
        <v>3</v>
      </c>
      <c r="M153" s="3">
        <v>999</v>
      </c>
      <c r="N153" s="4">
        <v>0</v>
      </c>
      <c r="O153" s="23">
        <v>0</v>
      </c>
      <c r="P153" s="23">
        <v>10</v>
      </c>
      <c r="Q153" s="23">
        <v>3007</v>
      </c>
      <c r="R153" s="23">
        <f t="shared" si="5"/>
        <v>599.4</v>
      </c>
      <c r="S153" s="2" t="s">
        <v>86</v>
      </c>
      <c r="T153" s="5" t="s">
        <v>31</v>
      </c>
      <c r="U153" s="2">
        <v>3</v>
      </c>
    </row>
    <row r="154" spans="1:21" x14ac:dyDescent="0.45">
      <c r="A154" s="6" t="s">
        <v>390</v>
      </c>
      <c r="B154" s="21" t="s">
        <v>391</v>
      </c>
      <c r="C154" s="20">
        <f t="shared" si="4"/>
        <v>45342</v>
      </c>
      <c r="D154" s="6" t="s">
        <v>137</v>
      </c>
      <c r="E154" s="6" t="s">
        <v>138</v>
      </c>
      <c r="F154" s="6" t="s">
        <v>139</v>
      </c>
      <c r="G154" s="6" t="s">
        <v>25</v>
      </c>
      <c r="H154" s="6" t="s">
        <v>126</v>
      </c>
      <c r="I154" s="6" t="s">
        <v>127</v>
      </c>
      <c r="J154" s="6" t="s">
        <v>128</v>
      </c>
      <c r="K154" s="6" t="s">
        <v>129</v>
      </c>
      <c r="L154" s="6">
        <v>3</v>
      </c>
      <c r="M154" s="7">
        <v>35</v>
      </c>
      <c r="N154" s="8">
        <v>0</v>
      </c>
      <c r="O154" s="24">
        <v>0</v>
      </c>
      <c r="P154" s="24">
        <v>10</v>
      </c>
      <c r="Q154" s="24">
        <v>115</v>
      </c>
      <c r="R154" s="23">
        <f t="shared" si="5"/>
        <v>21</v>
      </c>
      <c r="S154" s="6" t="s">
        <v>30</v>
      </c>
      <c r="T154" s="5" t="s">
        <v>31</v>
      </c>
      <c r="U154" s="6">
        <v>4</v>
      </c>
    </row>
    <row r="155" spans="1:21" x14ac:dyDescent="0.45">
      <c r="A155" s="2" t="s">
        <v>392</v>
      </c>
      <c r="B155" s="20" t="s">
        <v>393</v>
      </c>
      <c r="C155" s="20">
        <f t="shared" si="4"/>
        <v>45338</v>
      </c>
      <c r="D155" s="2" t="s">
        <v>71</v>
      </c>
      <c r="E155" s="2" t="s">
        <v>72</v>
      </c>
      <c r="F155" s="2" t="s">
        <v>73</v>
      </c>
      <c r="G155" s="2" t="s">
        <v>25</v>
      </c>
      <c r="H155" s="2" t="s">
        <v>115</v>
      </c>
      <c r="I155" s="2" t="s">
        <v>116</v>
      </c>
      <c r="J155" s="2" t="s">
        <v>117</v>
      </c>
      <c r="K155" s="2" t="s">
        <v>118</v>
      </c>
      <c r="L155" s="2">
        <v>5</v>
      </c>
      <c r="M155" s="3">
        <v>120</v>
      </c>
      <c r="N155" s="4">
        <v>0</v>
      </c>
      <c r="O155" s="23">
        <v>0</v>
      </c>
      <c r="P155" s="23">
        <v>0</v>
      </c>
      <c r="Q155" s="23">
        <v>600</v>
      </c>
      <c r="R155" s="23">
        <f t="shared" si="5"/>
        <v>120</v>
      </c>
      <c r="S155" s="2" t="s">
        <v>86</v>
      </c>
      <c r="T155" s="10" t="s">
        <v>78</v>
      </c>
      <c r="U155" s="2"/>
    </row>
    <row r="156" spans="1:21" x14ac:dyDescent="0.45">
      <c r="A156" s="6" t="s">
        <v>394</v>
      </c>
      <c r="B156" s="21" t="s">
        <v>395</v>
      </c>
      <c r="C156" s="20">
        <f t="shared" si="4"/>
        <v>45356</v>
      </c>
      <c r="D156" s="6" t="s">
        <v>34</v>
      </c>
      <c r="E156" s="6" t="s">
        <v>35</v>
      </c>
      <c r="F156" s="6" t="s">
        <v>36</v>
      </c>
      <c r="G156" s="6" t="s">
        <v>25</v>
      </c>
      <c r="H156" s="6" t="s">
        <v>47</v>
      </c>
      <c r="I156" s="6" t="s">
        <v>48</v>
      </c>
      <c r="J156" s="6" t="s">
        <v>28</v>
      </c>
      <c r="K156" s="6" t="s">
        <v>49</v>
      </c>
      <c r="L156" s="6">
        <v>1</v>
      </c>
      <c r="M156" s="7">
        <v>349</v>
      </c>
      <c r="N156" s="8">
        <v>20</v>
      </c>
      <c r="O156" s="24">
        <v>69.8</v>
      </c>
      <c r="P156" s="24">
        <v>15</v>
      </c>
      <c r="Q156" s="24">
        <v>294.2</v>
      </c>
      <c r="R156" s="23">
        <f t="shared" si="5"/>
        <v>55.84</v>
      </c>
      <c r="S156" s="6" t="s">
        <v>86</v>
      </c>
      <c r="T156" s="5" t="s">
        <v>31</v>
      </c>
      <c r="U156" s="6">
        <v>2</v>
      </c>
    </row>
    <row r="157" spans="1:21" x14ac:dyDescent="0.45">
      <c r="A157" s="2" t="s">
        <v>396</v>
      </c>
      <c r="B157" s="20" t="s">
        <v>214</v>
      </c>
      <c r="C157" s="20">
        <f t="shared" si="4"/>
        <v>45460</v>
      </c>
      <c r="D157" s="2" t="s">
        <v>123</v>
      </c>
      <c r="E157" s="2" t="s">
        <v>124</v>
      </c>
      <c r="F157" s="2" t="s">
        <v>125</v>
      </c>
      <c r="G157" s="2" t="s">
        <v>25</v>
      </c>
      <c r="H157" s="2" t="s">
        <v>98</v>
      </c>
      <c r="I157" s="2" t="s">
        <v>99</v>
      </c>
      <c r="J157" s="2" t="s">
        <v>100</v>
      </c>
      <c r="K157" s="2" t="s">
        <v>101</v>
      </c>
      <c r="L157" s="2">
        <v>5</v>
      </c>
      <c r="M157" s="3">
        <v>18</v>
      </c>
      <c r="N157" s="4">
        <v>0</v>
      </c>
      <c r="O157" s="23">
        <v>0</v>
      </c>
      <c r="P157" s="23">
        <v>5</v>
      </c>
      <c r="Q157" s="23">
        <v>95</v>
      </c>
      <c r="R157" s="23">
        <f t="shared" si="5"/>
        <v>18</v>
      </c>
      <c r="S157" s="2" t="s">
        <v>86</v>
      </c>
      <c r="T157" s="11" t="s">
        <v>92</v>
      </c>
      <c r="U157" s="2"/>
    </row>
    <row r="158" spans="1:21" x14ac:dyDescent="0.45">
      <c r="A158" s="6" t="s">
        <v>397</v>
      </c>
      <c r="B158" s="21" t="s">
        <v>398</v>
      </c>
      <c r="C158" s="20">
        <f t="shared" si="4"/>
        <v>45358</v>
      </c>
      <c r="D158" s="6" t="s">
        <v>44</v>
      </c>
      <c r="E158" s="6" t="s">
        <v>45</v>
      </c>
      <c r="F158" s="6" t="s">
        <v>46</v>
      </c>
      <c r="G158" s="6" t="s">
        <v>25</v>
      </c>
      <c r="H158" s="6" t="s">
        <v>89</v>
      </c>
      <c r="I158" s="6" t="s">
        <v>90</v>
      </c>
      <c r="J158" s="6" t="s">
        <v>58</v>
      </c>
      <c r="K158" s="6" t="s">
        <v>91</v>
      </c>
      <c r="L158" s="6">
        <v>2</v>
      </c>
      <c r="M158" s="7">
        <v>29</v>
      </c>
      <c r="N158" s="8">
        <v>0</v>
      </c>
      <c r="O158" s="24">
        <v>0</v>
      </c>
      <c r="P158" s="24">
        <v>0</v>
      </c>
      <c r="Q158" s="24">
        <v>58</v>
      </c>
      <c r="R158" s="23">
        <f t="shared" si="5"/>
        <v>11.600000000000001</v>
      </c>
      <c r="S158" s="6" t="s">
        <v>50</v>
      </c>
      <c r="T158" s="5" t="s">
        <v>31</v>
      </c>
      <c r="U158" s="6">
        <v>2</v>
      </c>
    </row>
    <row r="159" spans="1:21" x14ac:dyDescent="0.45">
      <c r="A159" s="2" t="s">
        <v>399</v>
      </c>
      <c r="B159" s="20" t="s">
        <v>306</v>
      </c>
      <c r="C159" s="20">
        <f t="shared" si="4"/>
        <v>45593</v>
      </c>
      <c r="D159" s="2" t="s">
        <v>137</v>
      </c>
      <c r="E159" s="2" t="s">
        <v>138</v>
      </c>
      <c r="F159" s="2" t="s">
        <v>139</v>
      </c>
      <c r="G159" s="2" t="s">
        <v>25</v>
      </c>
      <c r="H159" s="2" t="s">
        <v>26</v>
      </c>
      <c r="I159" s="2" t="s">
        <v>27</v>
      </c>
      <c r="J159" s="2" t="s">
        <v>28</v>
      </c>
      <c r="K159" s="2" t="s">
        <v>29</v>
      </c>
      <c r="L159" s="2">
        <v>2</v>
      </c>
      <c r="M159" s="3">
        <v>999</v>
      </c>
      <c r="N159" s="4">
        <v>0</v>
      </c>
      <c r="O159" s="23">
        <v>0</v>
      </c>
      <c r="P159" s="23">
        <v>0</v>
      </c>
      <c r="Q159" s="23">
        <v>1998</v>
      </c>
      <c r="R159" s="23">
        <f t="shared" si="5"/>
        <v>399.6</v>
      </c>
      <c r="S159" s="2" t="s">
        <v>187</v>
      </c>
      <c r="T159" s="5" t="s">
        <v>31</v>
      </c>
      <c r="U159" s="2">
        <v>5</v>
      </c>
    </row>
    <row r="160" spans="1:21" x14ac:dyDescent="0.45">
      <c r="A160" s="6" t="s">
        <v>400</v>
      </c>
      <c r="B160" s="21" t="s">
        <v>401</v>
      </c>
      <c r="C160" s="20">
        <f t="shared" si="4"/>
        <v>45350</v>
      </c>
      <c r="D160" s="6" t="s">
        <v>22</v>
      </c>
      <c r="E160" s="6" t="s">
        <v>23</v>
      </c>
      <c r="F160" s="6" t="s">
        <v>24</v>
      </c>
      <c r="G160" s="6" t="s">
        <v>25</v>
      </c>
      <c r="H160" s="6" t="s">
        <v>140</v>
      </c>
      <c r="I160" s="6" t="s">
        <v>141</v>
      </c>
      <c r="J160" s="6" t="s">
        <v>39</v>
      </c>
      <c r="K160" s="6" t="s">
        <v>142</v>
      </c>
      <c r="L160" s="6">
        <v>4</v>
      </c>
      <c r="M160" s="7">
        <v>180</v>
      </c>
      <c r="N160" s="8">
        <v>20</v>
      </c>
      <c r="O160" s="24">
        <v>144</v>
      </c>
      <c r="P160" s="24">
        <v>5</v>
      </c>
      <c r="Q160" s="24">
        <v>581</v>
      </c>
      <c r="R160" s="23">
        <f t="shared" si="5"/>
        <v>115.2</v>
      </c>
      <c r="S160" s="6" t="s">
        <v>30</v>
      </c>
      <c r="T160" s="5" t="s">
        <v>31</v>
      </c>
      <c r="U160" s="6">
        <v>4</v>
      </c>
    </row>
    <row r="161" spans="1:21" x14ac:dyDescent="0.45">
      <c r="A161" s="2" t="s">
        <v>402</v>
      </c>
      <c r="B161" s="20" t="s">
        <v>403</v>
      </c>
      <c r="C161" s="20">
        <f t="shared" si="4"/>
        <v>45549</v>
      </c>
      <c r="D161" s="2" t="s">
        <v>71</v>
      </c>
      <c r="E161" s="2" t="s">
        <v>72</v>
      </c>
      <c r="F161" s="2" t="s">
        <v>73</v>
      </c>
      <c r="G161" s="2" t="s">
        <v>25</v>
      </c>
      <c r="H161" s="2" t="s">
        <v>178</v>
      </c>
      <c r="I161" s="2" t="s">
        <v>179</v>
      </c>
      <c r="J161" s="2" t="s">
        <v>128</v>
      </c>
      <c r="K161" s="2" t="s">
        <v>180</v>
      </c>
      <c r="L161" s="2">
        <v>1</v>
      </c>
      <c r="M161" s="3">
        <v>28</v>
      </c>
      <c r="N161" s="4">
        <v>15</v>
      </c>
      <c r="O161" s="23">
        <v>4.2</v>
      </c>
      <c r="P161" s="23">
        <v>15</v>
      </c>
      <c r="Q161" s="23">
        <v>38.799999999999997</v>
      </c>
      <c r="R161" s="23">
        <f t="shared" si="5"/>
        <v>4.76</v>
      </c>
      <c r="S161" s="2" t="s">
        <v>30</v>
      </c>
      <c r="T161" s="5" t="s">
        <v>31</v>
      </c>
      <c r="U161" s="2">
        <v>1</v>
      </c>
    </row>
    <row r="162" spans="1:21" x14ac:dyDescent="0.45">
      <c r="A162" s="6" t="s">
        <v>404</v>
      </c>
      <c r="B162" s="21" t="s">
        <v>405</v>
      </c>
      <c r="C162" s="20">
        <f t="shared" si="4"/>
        <v>45537</v>
      </c>
      <c r="D162" s="6" t="s">
        <v>53</v>
      </c>
      <c r="E162" s="6" t="s">
        <v>54</v>
      </c>
      <c r="F162" s="6" t="s">
        <v>55</v>
      </c>
      <c r="G162" s="6" t="s">
        <v>25</v>
      </c>
      <c r="H162" s="6" t="s">
        <v>37</v>
      </c>
      <c r="I162" s="6" t="s">
        <v>38</v>
      </c>
      <c r="J162" s="6" t="s">
        <v>39</v>
      </c>
      <c r="K162" s="6" t="s">
        <v>40</v>
      </c>
      <c r="L162" s="6">
        <v>1</v>
      </c>
      <c r="M162" s="7">
        <v>150</v>
      </c>
      <c r="N162" s="8">
        <v>5</v>
      </c>
      <c r="O162" s="24">
        <v>7.5</v>
      </c>
      <c r="P162" s="24">
        <v>10</v>
      </c>
      <c r="Q162" s="24">
        <v>152.5</v>
      </c>
      <c r="R162" s="23">
        <f t="shared" si="5"/>
        <v>28.5</v>
      </c>
      <c r="S162" s="6" t="s">
        <v>30</v>
      </c>
      <c r="T162" s="5" t="s">
        <v>31</v>
      </c>
      <c r="U162" s="6">
        <v>3</v>
      </c>
    </row>
    <row r="163" spans="1:21" x14ac:dyDescent="0.45">
      <c r="A163" s="2" t="s">
        <v>406</v>
      </c>
      <c r="B163" s="20" t="s">
        <v>131</v>
      </c>
      <c r="C163" s="20">
        <f t="shared" si="4"/>
        <v>45603</v>
      </c>
      <c r="D163" s="2" t="s">
        <v>123</v>
      </c>
      <c r="E163" s="2" t="s">
        <v>124</v>
      </c>
      <c r="F163" s="2" t="s">
        <v>125</v>
      </c>
      <c r="G163" s="2" t="s">
        <v>25</v>
      </c>
      <c r="H163" s="2" t="s">
        <v>150</v>
      </c>
      <c r="I163" s="2" t="s">
        <v>151</v>
      </c>
      <c r="J163" s="2" t="s">
        <v>28</v>
      </c>
      <c r="K163" s="2" t="s">
        <v>68</v>
      </c>
      <c r="L163" s="2">
        <v>2</v>
      </c>
      <c r="M163" s="3">
        <v>849</v>
      </c>
      <c r="N163" s="4">
        <v>0</v>
      </c>
      <c r="O163" s="23">
        <v>0</v>
      </c>
      <c r="P163" s="23">
        <v>15</v>
      </c>
      <c r="Q163" s="23">
        <v>1713</v>
      </c>
      <c r="R163" s="23">
        <f t="shared" si="5"/>
        <v>339.6</v>
      </c>
      <c r="S163" s="2" t="s">
        <v>41</v>
      </c>
      <c r="T163" s="5" t="s">
        <v>31</v>
      </c>
      <c r="U163" s="2">
        <v>3</v>
      </c>
    </row>
    <row r="164" spans="1:21" x14ac:dyDescent="0.45">
      <c r="A164" s="6" t="s">
        <v>407</v>
      </c>
      <c r="B164" s="21" t="s">
        <v>408</v>
      </c>
      <c r="C164" s="20">
        <f t="shared" si="4"/>
        <v>45487</v>
      </c>
      <c r="D164" s="6" t="s">
        <v>34</v>
      </c>
      <c r="E164" s="6" t="s">
        <v>35</v>
      </c>
      <c r="F164" s="6" t="s">
        <v>36</v>
      </c>
      <c r="G164" s="6" t="s">
        <v>25</v>
      </c>
      <c r="H164" s="6" t="s">
        <v>126</v>
      </c>
      <c r="I164" s="6" t="s">
        <v>127</v>
      </c>
      <c r="J164" s="6" t="s">
        <v>128</v>
      </c>
      <c r="K164" s="6" t="s">
        <v>129</v>
      </c>
      <c r="L164" s="6">
        <v>3</v>
      </c>
      <c r="M164" s="7">
        <v>35</v>
      </c>
      <c r="N164" s="8">
        <v>5</v>
      </c>
      <c r="O164" s="24">
        <v>5.25</v>
      </c>
      <c r="P164" s="24">
        <v>15</v>
      </c>
      <c r="Q164" s="24">
        <v>114.75</v>
      </c>
      <c r="R164" s="23">
        <f t="shared" si="5"/>
        <v>19.950000000000003</v>
      </c>
      <c r="S164" s="6" t="s">
        <v>30</v>
      </c>
      <c r="T164" s="5" t="s">
        <v>31</v>
      </c>
      <c r="U164" s="6">
        <v>1</v>
      </c>
    </row>
    <row r="165" spans="1:21" x14ac:dyDescent="0.45">
      <c r="A165" s="2" t="s">
        <v>409</v>
      </c>
      <c r="B165" s="20" t="s">
        <v>230</v>
      </c>
      <c r="C165" s="20">
        <f t="shared" si="4"/>
        <v>45627</v>
      </c>
      <c r="D165" s="2" t="s">
        <v>44</v>
      </c>
      <c r="E165" s="2" t="s">
        <v>45</v>
      </c>
      <c r="F165" s="2" t="s">
        <v>46</v>
      </c>
      <c r="G165" s="2" t="s">
        <v>25</v>
      </c>
      <c r="H165" s="2" t="s">
        <v>74</v>
      </c>
      <c r="I165" s="2" t="s">
        <v>75</v>
      </c>
      <c r="J165" s="2" t="s">
        <v>76</v>
      </c>
      <c r="K165" s="2" t="s">
        <v>77</v>
      </c>
      <c r="L165" s="2">
        <v>2</v>
      </c>
      <c r="M165" s="3">
        <v>320</v>
      </c>
      <c r="N165" s="4">
        <v>5</v>
      </c>
      <c r="O165" s="23">
        <v>32</v>
      </c>
      <c r="P165" s="23">
        <v>10</v>
      </c>
      <c r="Q165" s="23">
        <v>618</v>
      </c>
      <c r="R165" s="23">
        <f t="shared" si="5"/>
        <v>121.60000000000001</v>
      </c>
      <c r="S165" s="2" t="s">
        <v>187</v>
      </c>
      <c r="T165" s="11" t="s">
        <v>92</v>
      </c>
      <c r="U165" s="2"/>
    </row>
    <row r="166" spans="1:21" x14ac:dyDescent="0.45">
      <c r="A166" s="6" t="s">
        <v>410</v>
      </c>
      <c r="B166" s="21" t="s">
        <v>379</v>
      </c>
      <c r="C166" s="20">
        <f t="shared" si="4"/>
        <v>45465</v>
      </c>
      <c r="D166" s="6" t="s">
        <v>104</v>
      </c>
      <c r="E166" s="6" t="s">
        <v>105</v>
      </c>
      <c r="F166" s="6" t="s">
        <v>106</v>
      </c>
      <c r="G166" s="6" t="s">
        <v>25</v>
      </c>
      <c r="H166" s="6" t="s">
        <v>37</v>
      </c>
      <c r="I166" s="6" t="s">
        <v>38</v>
      </c>
      <c r="J166" s="6" t="s">
        <v>39</v>
      </c>
      <c r="K166" s="6" t="s">
        <v>40</v>
      </c>
      <c r="L166" s="6">
        <v>4</v>
      </c>
      <c r="M166" s="7">
        <v>150</v>
      </c>
      <c r="N166" s="8">
        <v>15</v>
      </c>
      <c r="O166" s="24">
        <v>90</v>
      </c>
      <c r="P166" s="24">
        <v>0</v>
      </c>
      <c r="Q166" s="24">
        <v>510</v>
      </c>
      <c r="R166" s="23">
        <f t="shared" si="5"/>
        <v>102</v>
      </c>
      <c r="S166" s="6" t="s">
        <v>50</v>
      </c>
      <c r="T166" s="5" t="s">
        <v>31</v>
      </c>
      <c r="U166" s="6">
        <v>3</v>
      </c>
    </row>
    <row r="167" spans="1:21" x14ac:dyDescent="0.45">
      <c r="A167" s="2" t="s">
        <v>411</v>
      </c>
      <c r="B167" s="20" t="s">
        <v>412</v>
      </c>
      <c r="C167" s="20">
        <f t="shared" si="4"/>
        <v>45483</v>
      </c>
      <c r="D167" s="2" t="s">
        <v>123</v>
      </c>
      <c r="E167" s="2" t="s">
        <v>124</v>
      </c>
      <c r="F167" s="2" t="s">
        <v>125</v>
      </c>
      <c r="G167" s="2" t="s">
        <v>25</v>
      </c>
      <c r="H167" s="2" t="s">
        <v>115</v>
      </c>
      <c r="I167" s="2" t="s">
        <v>116</v>
      </c>
      <c r="J167" s="2" t="s">
        <v>117</v>
      </c>
      <c r="K167" s="2" t="s">
        <v>118</v>
      </c>
      <c r="L167" s="2">
        <v>4</v>
      </c>
      <c r="M167" s="3">
        <v>120</v>
      </c>
      <c r="N167" s="4">
        <v>0</v>
      </c>
      <c r="O167" s="23">
        <v>0</v>
      </c>
      <c r="P167" s="23">
        <v>0</v>
      </c>
      <c r="Q167" s="23">
        <v>480</v>
      </c>
      <c r="R167" s="23">
        <f t="shared" si="5"/>
        <v>96</v>
      </c>
      <c r="S167" s="2" t="s">
        <v>30</v>
      </c>
      <c r="T167" s="11" t="s">
        <v>92</v>
      </c>
      <c r="U167" s="2"/>
    </row>
    <row r="168" spans="1:21" x14ac:dyDescent="0.45">
      <c r="A168" s="6" t="s">
        <v>413</v>
      </c>
      <c r="B168" s="21" t="s">
        <v>414</v>
      </c>
      <c r="C168" s="20">
        <f t="shared" si="4"/>
        <v>45513</v>
      </c>
      <c r="D168" s="6" t="s">
        <v>22</v>
      </c>
      <c r="E168" s="6" t="s">
        <v>23</v>
      </c>
      <c r="F168" s="6" t="s">
        <v>24</v>
      </c>
      <c r="G168" s="6" t="s">
        <v>25</v>
      </c>
      <c r="H168" s="6" t="s">
        <v>74</v>
      </c>
      <c r="I168" s="6" t="s">
        <v>75</v>
      </c>
      <c r="J168" s="6" t="s">
        <v>76</v>
      </c>
      <c r="K168" s="6" t="s">
        <v>77</v>
      </c>
      <c r="L168" s="6">
        <v>3</v>
      </c>
      <c r="M168" s="7">
        <v>320</v>
      </c>
      <c r="N168" s="8">
        <v>20</v>
      </c>
      <c r="O168" s="24">
        <v>192</v>
      </c>
      <c r="P168" s="24">
        <v>0</v>
      </c>
      <c r="Q168" s="24">
        <v>768</v>
      </c>
      <c r="R168" s="23">
        <f t="shared" si="5"/>
        <v>153.60000000000002</v>
      </c>
      <c r="S168" s="6" t="s">
        <v>41</v>
      </c>
      <c r="T168" s="5" t="s">
        <v>31</v>
      </c>
      <c r="U168" s="6">
        <v>5</v>
      </c>
    </row>
    <row r="169" spans="1:21" x14ac:dyDescent="0.45">
      <c r="A169" s="2" t="s">
        <v>415</v>
      </c>
      <c r="B169" s="20" t="s">
        <v>416</v>
      </c>
      <c r="C169" s="20">
        <f t="shared" si="4"/>
        <v>45579</v>
      </c>
      <c r="D169" s="2" t="s">
        <v>137</v>
      </c>
      <c r="E169" s="2" t="s">
        <v>138</v>
      </c>
      <c r="F169" s="2" t="s">
        <v>139</v>
      </c>
      <c r="G169" s="2" t="s">
        <v>25</v>
      </c>
      <c r="H169" s="2" t="s">
        <v>115</v>
      </c>
      <c r="I169" s="2" t="s">
        <v>116</v>
      </c>
      <c r="J169" s="2" t="s">
        <v>117</v>
      </c>
      <c r="K169" s="2" t="s">
        <v>118</v>
      </c>
      <c r="L169" s="2">
        <v>1</v>
      </c>
      <c r="M169" s="3">
        <v>120</v>
      </c>
      <c r="N169" s="4">
        <v>5</v>
      </c>
      <c r="O169" s="23">
        <v>6</v>
      </c>
      <c r="P169" s="23">
        <v>5</v>
      </c>
      <c r="Q169" s="23">
        <v>119</v>
      </c>
      <c r="R169" s="23">
        <f t="shared" si="5"/>
        <v>22.8</v>
      </c>
      <c r="S169" s="2" t="s">
        <v>187</v>
      </c>
      <c r="T169" s="11" t="s">
        <v>92</v>
      </c>
      <c r="U169" s="2"/>
    </row>
    <row r="170" spans="1:21" x14ac:dyDescent="0.45">
      <c r="A170" s="6" t="s">
        <v>417</v>
      </c>
      <c r="B170" s="21" t="s">
        <v>332</v>
      </c>
      <c r="C170" s="20">
        <f t="shared" si="4"/>
        <v>45318</v>
      </c>
      <c r="D170" s="6" t="s">
        <v>83</v>
      </c>
      <c r="E170" s="6" t="s">
        <v>84</v>
      </c>
      <c r="F170" s="6" t="s">
        <v>85</v>
      </c>
      <c r="G170" s="6" t="s">
        <v>25</v>
      </c>
      <c r="H170" s="6" t="s">
        <v>178</v>
      </c>
      <c r="I170" s="6" t="s">
        <v>179</v>
      </c>
      <c r="J170" s="6" t="s">
        <v>128</v>
      </c>
      <c r="K170" s="6" t="s">
        <v>180</v>
      </c>
      <c r="L170" s="6">
        <v>3</v>
      </c>
      <c r="M170" s="7">
        <v>28</v>
      </c>
      <c r="N170" s="8">
        <v>0</v>
      </c>
      <c r="O170" s="24">
        <v>0</v>
      </c>
      <c r="P170" s="24">
        <v>0</v>
      </c>
      <c r="Q170" s="24">
        <v>84</v>
      </c>
      <c r="R170" s="23">
        <f t="shared" si="5"/>
        <v>16.8</v>
      </c>
      <c r="S170" s="6" t="s">
        <v>86</v>
      </c>
      <c r="T170" s="5" t="s">
        <v>31</v>
      </c>
      <c r="U170" s="6">
        <v>2</v>
      </c>
    </row>
    <row r="171" spans="1:21" x14ac:dyDescent="0.45">
      <c r="A171" s="2" t="s">
        <v>418</v>
      </c>
      <c r="B171" s="20" t="s">
        <v>419</v>
      </c>
      <c r="C171" s="20">
        <f t="shared" si="4"/>
        <v>45628</v>
      </c>
      <c r="D171" s="2" t="s">
        <v>104</v>
      </c>
      <c r="E171" s="2" t="s">
        <v>105</v>
      </c>
      <c r="F171" s="2" t="s">
        <v>106</v>
      </c>
      <c r="G171" s="2" t="s">
        <v>25</v>
      </c>
      <c r="H171" s="2" t="s">
        <v>47</v>
      </c>
      <c r="I171" s="2" t="s">
        <v>48</v>
      </c>
      <c r="J171" s="2" t="s">
        <v>28</v>
      </c>
      <c r="K171" s="2" t="s">
        <v>49</v>
      </c>
      <c r="L171" s="2">
        <v>1</v>
      </c>
      <c r="M171" s="3">
        <v>349</v>
      </c>
      <c r="N171" s="4">
        <v>0</v>
      </c>
      <c r="O171" s="23">
        <v>0</v>
      </c>
      <c r="P171" s="23">
        <v>15</v>
      </c>
      <c r="Q171" s="23">
        <v>364</v>
      </c>
      <c r="R171" s="23">
        <f t="shared" si="5"/>
        <v>69.8</v>
      </c>
      <c r="S171" s="2" t="s">
        <v>50</v>
      </c>
      <c r="T171" s="5" t="s">
        <v>31</v>
      </c>
      <c r="U171" s="2">
        <v>5</v>
      </c>
    </row>
    <row r="172" spans="1:21" x14ac:dyDescent="0.45">
      <c r="A172" s="6" t="s">
        <v>420</v>
      </c>
      <c r="B172" s="21" t="s">
        <v>421</v>
      </c>
      <c r="C172" s="20">
        <f t="shared" si="4"/>
        <v>45407</v>
      </c>
      <c r="D172" s="6" t="s">
        <v>53</v>
      </c>
      <c r="E172" s="6" t="s">
        <v>54</v>
      </c>
      <c r="F172" s="6" t="s">
        <v>55</v>
      </c>
      <c r="G172" s="6" t="s">
        <v>25</v>
      </c>
      <c r="H172" s="6" t="s">
        <v>195</v>
      </c>
      <c r="I172" s="6" t="s">
        <v>196</v>
      </c>
      <c r="J172" s="6" t="s">
        <v>67</v>
      </c>
      <c r="K172" s="6" t="s">
        <v>197</v>
      </c>
      <c r="L172" s="6">
        <v>5</v>
      </c>
      <c r="M172" s="7">
        <v>750</v>
      </c>
      <c r="N172" s="8">
        <v>20</v>
      </c>
      <c r="O172" s="24">
        <v>750</v>
      </c>
      <c r="P172" s="24">
        <v>15</v>
      </c>
      <c r="Q172" s="24">
        <v>3015</v>
      </c>
      <c r="R172" s="23">
        <f t="shared" si="5"/>
        <v>600</v>
      </c>
      <c r="S172" s="6" t="s">
        <v>41</v>
      </c>
      <c r="T172" s="5" t="s">
        <v>31</v>
      </c>
      <c r="U172" s="6">
        <v>1</v>
      </c>
    </row>
    <row r="173" spans="1:21" x14ac:dyDescent="0.45">
      <c r="A173" s="2" t="s">
        <v>422</v>
      </c>
      <c r="B173" s="20" t="s">
        <v>131</v>
      </c>
      <c r="C173" s="20">
        <f t="shared" si="4"/>
        <v>45603</v>
      </c>
      <c r="D173" s="2" t="s">
        <v>83</v>
      </c>
      <c r="E173" s="2" t="s">
        <v>84</v>
      </c>
      <c r="F173" s="2" t="s">
        <v>85</v>
      </c>
      <c r="G173" s="2" t="s">
        <v>25</v>
      </c>
      <c r="H173" s="2" t="s">
        <v>26</v>
      </c>
      <c r="I173" s="2" t="s">
        <v>27</v>
      </c>
      <c r="J173" s="2" t="s">
        <v>28</v>
      </c>
      <c r="K173" s="2" t="s">
        <v>29</v>
      </c>
      <c r="L173" s="2">
        <v>2</v>
      </c>
      <c r="M173" s="3">
        <v>999</v>
      </c>
      <c r="N173" s="4">
        <v>0</v>
      </c>
      <c r="O173" s="23">
        <v>0</v>
      </c>
      <c r="P173" s="23">
        <v>5</v>
      </c>
      <c r="Q173" s="23">
        <v>2003</v>
      </c>
      <c r="R173" s="23">
        <f t="shared" si="5"/>
        <v>399.6</v>
      </c>
      <c r="S173" s="2" t="s">
        <v>50</v>
      </c>
      <c r="T173" s="9" t="s">
        <v>60</v>
      </c>
      <c r="U173" s="2"/>
    </row>
    <row r="174" spans="1:21" x14ac:dyDescent="0.45">
      <c r="A174" s="6" t="s">
        <v>423</v>
      </c>
      <c r="B174" s="21" t="s">
        <v>424</v>
      </c>
      <c r="C174" s="20">
        <f t="shared" si="4"/>
        <v>45295</v>
      </c>
      <c r="D174" s="6" t="s">
        <v>123</v>
      </c>
      <c r="E174" s="6" t="s">
        <v>124</v>
      </c>
      <c r="F174" s="6" t="s">
        <v>125</v>
      </c>
      <c r="G174" s="6" t="s">
        <v>25</v>
      </c>
      <c r="H174" s="6" t="s">
        <v>195</v>
      </c>
      <c r="I174" s="6" t="s">
        <v>196</v>
      </c>
      <c r="J174" s="6" t="s">
        <v>67</v>
      </c>
      <c r="K174" s="6" t="s">
        <v>197</v>
      </c>
      <c r="L174" s="6">
        <v>2</v>
      </c>
      <c r="M174" s="7">
        <v>750</v>
      </c>
      <c r="N174" s="8">
        <v>10</v>
      </c>
      <c r="O174" s="24">
        <v>150</v>
      </c>
      <c r="P174" s="24">
        <v>10</v>
      </c>
      <c r="Q174" s="24">
        <v>1360</v>
      </c>
      <c r="R174" s="23">
        <f t="shared" si="5"/>
        <v>270</v>
      </c>
      <c r="S174" s="6" t="s">
        <v>30</v>
      </c>
      <c r="T174" s="5" t="s">
        <v>31</v>
      </c>
      <c r="U174" s="6">
        <v>1</v>
      </c>
    </row>
    <row r="175" spans="1:21" x14ac:dyDescent="0.45">
      <c r="A175" s="2" t="s">
        <v>425</v>
      </c>
      <c r="B175" s="20" t="s">
        <v>377</v>
      </c>
      <c r="C175" s="20">
        <f t="shared" si="4"/>
        <v>45563</v>
      </c>
      <c r="D175" s="2" t="s">
        <v>71</v>
      </c>
      <c r="E175" s="2" t="s">
        <v>72</v>
      </c>
      <c r="F175" s="2" t="s">
        <v>73</v>
      </c>
      <c r="G175" s="2" t="s">
        <v>25</v>
      </c>
      <c r="H175" s="2" t="s">
        <v>37</v>
      </c>
      <c r="I175" s="2" t="s">
        <v>38</v>
      </c>
      <c r="J175" s="2" t="s">
        <v>39</v>
      </c>
      <c r="K175" s="2" t="s">
        <v>40</v>
      </c>
      <c r="L175" s="2">
        <v>4</v>
      </c>
      <c r="M175" s="3">
        <v>150</v>
      </c>
      <c r="N175" s="4">
        <v>5</v>
      </c>
      <c r="O175" s="23">
        <v>30</v>
      </c>
      <c r="P175" s="23">
        <v>5</v>
      </c>
      <c r="Q175" s="23">
        <v>575</v>
      </c>
      <c r="R175" s="23">
        <f t="shared" si="5"/>
        <v>114</v>
      </c>
      <c r="S175" s="2" t="s">
        <v>50</v>
      </c>
      <c r="T175" s="5" t="s">
        <v>31</v>
      </c>
      <c r="U175" s="2">
        <v>3</v>
      </c>
    </row>
    <row r="176" spans="1:21" x14ac:dyDescent="0.45">
      <c r="A176" s="6" t="s">
        <v>426</v>
      </c>
      <c r="B176" s="21" t="s">
        <v>427</v>
      </c>
      <c r="C176" s="20">
        <f t="shared" si="4"/>
        <v>45582</v>
      </c>
      <c r="D176" s="6" t="s">
        <v>34</v>
      </c>
      <c r="E176" s="6" t="s">
        <v>35</v>
      </c>
      <c r="F176" s="6" t="s">
        <v>36</v>
      </c>
      <c r="G176" s="6" t="s">
        <v>25</v>
      </c>
      <c r="H176" s="6" t="s">
        <v>150</v>
      </c>
      <c r="I176" s="6" t="s">
        <v>151</v>
      </c>
      <c r="J176" s="6" t="s">
        <v>28</v>
      </c>
      <c r="K176" s="6" t="s">
        <v>68</v>
      </c>
      <c r="L176" s="6">
        <v>1</v>
      </c>
      <c r="M176" s="7">
        <v>849</v>
      </c>
      <c r="N176" s="8">
        <v>0</v>
      </c>
      <c r="O176" s="24">
        <v>0</v>
      </c>
      <c r="P176" s="24">
        <v>0</v>
      </c>
      <c r="Q176" s="24">
        <v>849</v>
      </c>
      <c r="R176" s="23">
        <f t="shared" si="5"/>
        <v>169.8</v>
      </c>
      <c r="S176" s="6" t="s">
        <v>30</v>
      </c>
      <c r="T176" s="10" t="s">
        <v>78</v>
      </c>
      <c r="U176" s="6"/>
    </row>
    <row r="177" spans="1:21" x14ac:dyDescent="0.45">
      <c r="A177" s="2" t="s">
        <v>428</v>
      </c>
      <c r="B177" s="20" t="s">
        <v>429</v>
      </c>
      <c r="C177" s="20">
        <f t="shared" si="4"/>
        <v>45637</v>
      </c>
      <c r="D177" s="2" t="s">
        <v>22</v>
      </c>
      <c r="E177" s="2" t="s">
        <v>23</v>
      </c>
      <c r="F177" s="2" t="s">
        <v>24</v>
      </c>
      <c r="G177" s="2" t="s">
        <v>25</v>
      </c>
      <c r="H177" s="2" t="s">
        <v>89</v>
      </c>
      <c r="I177" s="2" t="s">
        <v>90</v>
      </c>
      <c r="J177" s="2" t="s">
        <v>58</v>
      </c>
      <c r="K177" s="2" t="s">
        <v>91</v>
      </c>
      <c r="L177" s="2">
        <v>4</v>
      </c>
      <c r="M177" s="3">
        <v>29</v>
      </c>
      <c r="N177" s="4">
        <v>15</v>
      </c>
      <c r="O177" s="23">
        <v>17.399999999999999</v>
      </c>
      <c r="P177" s="23">
        <v>10</v>
      </c>
      <c r="Q177" s="23">
        <v>108.6</v>
      </c>
      <c r="R177" s="23">
        <f t="shared" si="5"/>
        <v>19.72</v>
      </c>
      <c r="S177" s="2" t="s">
        <v>187</v>
      </c>
      <c r="T177" s="5" t="s">
        <v>31</v>
      </c>
      <c r="U177" s="2">
        <v>4</v>
      </c>
    </row>
    <row r="178" spans="1:21" x14ac:dyDescent="0.45">
      <c r="A178" s="6" t="s">
        <v>430</v>
      </c>
      <c r="B178" s="21" t="s">
        <v>246</v>
      </c>
      <c r="C178" s="20">
        <f t="shared" si="4"/>
        <v>45431</v>
      </c>
      <c r="D178" s="6" t="s">
        <v>71</v>
      </c>
      <c r="E178" s="6" t="s">
        <v>72</v>
      </c>
      <c r="F178" s="6" t="s">
        <v>73</v>
      </c>
      <c r="G178" s="6" t="s">
        <v>25</v>
      </c>
      <c r="H178" s="6" t="s">
        <v>98</v>
      </c>
      <c r="I178" s="6" t="s">
        <v>99</v>
      </c>
      <c r="J178" s="6" t="s">
        <v>100</v>
      </c>
      <c r="K178" s="6" t="s">
        <v>101</v>
      </c>
      <c r="L178" s="6">
        <v>5</v>
      </c>
      <c r="M178" s="7">
        <v>18</v>
      </c>
      <c r="N178" s="8">
        <v>0</v>
      </c>
      <c r="O178" s="24">
        <v>0</v>
      </c>
      <c r="P178" s="24">
        <v>5</v>
      </c>
      <c r="Q178" s="24">
        <v>95</v>
      </c>
      <c r="R178" s="23">
        <f t="shared" si="5"/>
        <v>18</v>
      </c>
      <c r="S178" s="6" t="s">
        <v>50</v>
      </c>
      <c r="T178" s="5" t="s">
        <v>31</v>
      </c>
      <c r="U178" s="6">
        <v>5</v>
      </c>
    </row>
    <row r="179" spans="1:21" x14ac:dyDescent="0.45">
      <c r="A179" s="2" t="s">
        <v>431</v>
      </c>
      <c r="B179" s="20" t="s">
        <v>285</v>
      </c>
      <c r="C179" s="20">
        <f t="shared" si="4"/>
        <v>45541</v>
      </c>
      <c r="D179" s="2" t="s">
        <v>44</v>
      </c>
      <c r="E179" s="2" t="s">
        <v>45</v>
      </c>
      <c r="F179" s="2" t="s">
        <v>46</v>
      </c>
      <c r="G179" s="2" t="s">
        <v>25</v>
      </c>
      <c r="H179" s="2" t="s">
        <v>115</v>
      </c>
      <c r="I179" s="2" t="s">
        <v>116</v>
      </c>
      <c r="J179" s="2" t="s">
        <v>117</v>
      </c>
      <c r="K179" s="2" t="s">
        <v>118</v>
      </c>
      <c r="L179" s="2">
        <v>3</v>
      </c>
      <c r="M179" s="3">
        <v>120</v>
      </c>
      <c r="N179" s="4">
        <v>0</v>
      </c>
      <c r="O179" s="23">
        <v>0</v>
      </c>
      <c r="P179" s="23">
        <v>0</v>
      </c>
      <c r="Q179" s="23">
        <v>360</v>
      </c>
      <c r="R179" s="23">
        <f t="shared" si="5"/>
        <v>72</v>
      </c>
      <c r="S179" s="2" t="s">
        <v>41</v>
      </c>
      <c r="T179" s="5" t="s">
        <v>31</v>
      </c>
      <c r="U179" s="2">
        <v>1</v>
      </c>
    </row>
    <row r="180" spans="1:21" x14ac:dyDescent="0.45">
      <c r="A180" s="6" t="s">
        <v>432</v>
      </c>
      <c r="B180" s="21" t="s">
        <v>424</v>
      </c>
      <c r="C180" s="20">
        <f t="shared" si="4"/>
        <v>45295</v>
      </c>
      <c r="D180" s="6" t="s">
        <v>71</v>
      </c>
      <c r="E180" s="6" t="s">
        <v>72</v>
      </c>
      <c r="F180" s="6" t="s">
        <v>73</v>
      </c>
      <c r="G180" s="6" t="s">
        <v>25</v>
      </c>
      <c r="H180" s="6" t="s">
        <v>89</v>
      </c>
      <c r="I180" s="6" t="s">
        <v>90</v>
      </c>
      <c r="J180" s="6" t="s">
        <v>58</v>
      </c>
      <c r="K180" s="6" t="s">
        <v>91</v>
      </c>
      <c r="L180" s="6">
        <v>2</v>
      </c>
      <c r="M180" s="7">
        <v>29</v>
      </c>
      <c r="N180" s="8">
        <v>20</v>
      </c>
      <c r="O180" s="24">
        <v>11.6</v>
      </c>
      <c r="P180" s="24">
        <v>0</v>
      </c>
      <c r="Q180" s="24">
        <v>46.4</v>
      </c>
      <c r="R180" s="23">
        <f t="shared" si="5"/>
        <v>9.2799999999999994</v>
      </c>
      <c r="S180" s="6" t="s">
        <v>50</v>
      </c>
      <c r="T180" s="10" t="s">
        <v>78</v>
      </c>
      <c r="U180" s="6"/>
    </row>
    <row r="181" spans="1:21" x14ac:dyDescent="0.45">
      <c r="A181" s="2" t="s">
        <v>433</v>
      </c>
      <c r="B181" s="20" t="s">
        <v>434</v>
      </c>
      <c r="C181" s="20">
        <f t="shared" si="4"/>
        <v>45459</v>
      </c>
      <c r="D181" s="2" t="s">
        <v>22</v>
      </c>
      <c r="E181" s="2" t="s">
        <v>23</v>
      </c>
      <c r="F181" s="2" t="s">
        <v>24</v>
      </c>
      <c r="G181" s="2" t="s">
        <v>25</v>
      </c>
      <c r="H181" s="2" t="s">
        <v>26</v>
      </c>
      <c r="I181" s="2" t="s">
        <v>27</v>
      </c>
      <c r="J181" s="2" t="s">
        <v>28</v>
      </c>
      <c r="K181" s="2" t="s">
        <v>29</v>
      </c>
      <c r="L181" s="2">
        <v>4</v>
      </c>
      <c r="M181" s="3">
        <v>999</v>
      </c>
      <c r="N181" s="4">
        <v>15</v>
      </c>
      <c r="O181" s="23">
        <v>599.4</v>
      </c>
      <c r="P181" s="23">
        <v>10</v>
      </c>
      <c r="Q181" s="23">
        <v>3406.6</v>
      </c>
      <c r="R181" s="23">
        <f t="shared" si="5"/>
        <v>679.32</v>
      </c>
      <c r="S181" s="2" t="s">
        <v>187</v>
      </c>
      <c r="T181" s="5" t="s">
        <v>31</v>
      </c>
      <c r="U181" s="2">
        <v>5</v>
      </c>
    </row>
    <row r="182" spans="1:21" x14ac:dyDescent="0.45">
      <c r="A182" s="6" t="s">
        <v>435</v>
      </c>
      <c r="B182" s="21" t="s">
        <v>189</v>
      </c>
      <c r="C182" s="20">
        <f t="shared" si="4"/>
        <v>45652</v>
      </c>
      <c r="D182" s="6" t="s">
        <v>71</v>
      </c>
      <c r="E182" s="6" t="s">
        <v>72</v>
      </c>
      <c r="F182" s="6" t="s">
        <v>73</v>
      </c>
      <c r="G182" s="6" t="s">
        <v>25</v>
      </c>
      <c r="H182" s="6" t="s">
        <v>126</v>
      </c>
      <c r="I182" s="6" t="s">
        <v>127</v>
      </c>
      <c r="J182" s="6" t="s">
        <v>128</v>
      </c>
      <c r="K182" s="6" t="s">
        <v>129</v>
      </c>
      <c r="L182" s="6">
        <v>5</v>
      </c>
      <c r="M182" s="7">
        <v>35</v>
      </c>
      <c r="N182" s="8">
        <v>20</v>
      </c>
      <c r="O182" s="24">
        <v>35</v>
      </c>
      <c r="P182" s="24">
        <v>5</v>
      </c>
      <c r="Q182" s="24">
        <v>145</v>
      </c>
      <c r="R182" s="23">
        <f t="shared" si="5"/>
        <v>28</v>
      </c>
      <c r="S182" s="6" t="s">
        <v>30</v>
      </c>
      <c r="T182" s="5" t="s">
        <v>31</v>
      </c>
      <c r="U182" s="6">
        <v>4</v>
      </c>
    </row>
    <row r="183" spans="1:21" x14ac:dyDescent="0.45">
      <c r="A183" s="2" t="s">
        <v>436</v>
      </c>
      <c r="B183" s="20" t="s">
        <v>263</v>
      </c>
      <c r="C183" s="20">
        <f t="shared" si="4"/>
        <v>45301</v>
      </c>
      <c r="D183" s="2" t="s">
        <v>104</v>
      </c>
      <c r="E183" s="2" t="s">
        <v>105</v>
      </c>
      <c r="F183" s="2" t="s">
        <v>106</v>
      </c>
      <c r="G183" s="2" t="s">
        <v>25</v>
      </c>
      <c r="H183" s="2" t="s">
        <v>65</v>
      </c>
      <c r="I183" s="2" t="s">
        <v>66</v>
      </c>
      <c r="J183" s="2" t="s">
        <v>67</v>
      </c>
      <c r="K183" s="2" t="s">
        <v>68</v>
      </c>
      <c r="L183" s="2">
        <v>1</v>
      </c>
      <c r="M183" s="3">
        <v>1200</v>
      </c>
      <c r="N183" s="4">
        <v>20</v>
      </c>
      <c r="O183" s="23">
        <v>240</v>
      </c>
      <c r="P183" s="23">
        <v>5</v>
      </c>
      <c r="Q183" s="23">
        <v>965</v>
      </c>
      <c r="R183" s="23">
        <f t="shared" si="5"/>
        <v>192</v>
      </c>
      <c r="S183" s="2" t="s">
        <v>41</v>
      </c>
      <c r="T183" s="5" t="s">
        <v>31</v>
      </c>
      <c r="U183" s="2">
        <v>4</v>
      </c>
    </row>
    <row r="184" spans="1:21" x14ac:dyDescent="0.45">
      <c r="A184" s="6" t="s">
        <v>437</v>
      </c>
      <c r="B184" s="21" t="s">
        <v>438</v>
      </c>
      <c r="C184" s="20">
        <f t="shared" si="4"/>
        <v>45655</v>
      </c>
      <c r="D184" s="6" t="s">
        <v>53</v>
      </c>
      <c r="E184" s="6" t="s">
        <v>54</v>
      </c>
      <c r="F184" s="6" t="s">
        <v>55</v>
      </c>
      <c r="G184" s="6" t="s">
        <v>25</v>
      </c>
      <c r="H184" s="6" t="s">
        <v>89</v>
      </c>
      <c r="I184" s="6" t="s">
        <v>90</v>
      </c>
      <c r="J184" s="6" t="s">
        <v>58</v>
      </c>
      <c r="K184" s="6" t="s">
        <v>91</v>
      </c>
      <c r="L184" s="6">
        <v>1</v>
      </c>
      <c r="M184" s="7">
        <v>29</v>
      </c>
      <c r="N184" s="8">
        <v>5</v>
      </c>
      <c r="O184" s="24">
        <v>1.45</v>
      </c>
      <c r="P184" s="24">
        <v>0</v>
      </c>
      <c r="Q184" s="24">
        <v>27.55</v>
      </c>
      <c r="R184" s="23">
        <f t="shared" si="5"/>
        <v>5.5100000000000007</v>
      </c>
      <c r="S184" s="6" t="s">
        <v>86</v>
      </c>
      <c r="T184" s="9" t="s">
        <v>60</v>
      </c>
      <c r="U184" s="6"/>
    </row>
    <row r="185" spans="1:21" x14ac:dyDescent="0.45">
      <c r="A185" s="2" t="s">
        <v>439</v>
      </c>
      <c r="B185" s="20" t="s">
        <v>354</v>
      </c>
      <c r="C185" s="20">
        <f t="shared" si="4"/>
        <v>45608</v>
      </c>
      <c r="D185" s="2" t="s">
        <v>104</v>
      </c>
      <c r="E185" s="2" t="s">
        <v>105</v>
      </c>
      <c r="F185" s="2" t="s">
        <v>106</v>
      </c>
      <c r="G185" s="2" t="s">
        <v>25</v>
      </c>
      <c r="H185" s="2" t="s">
        <v>195</v>
      </c>
      <c r="I185" s="2" t="s">
        <v>196</v>
      </c>
      <c r="J185" s="2" t="s">
        <v>67</v>
      </c>
      <c r="K185" s="2" t="s">
        <v>197</v>
      </c>
      <c r="L185" s="2">
        <v>3</v>
      </c>
      <c r="M185" s="3">
        <v>750</v>
      </c>
      <c r="N185" s="4">
        <v>0</v>
      </c>
      <c r="O185" s="23">
        <v>0</v>
      </c>
      <c r="P185" s="23">
        <v>10</v>
      </c>
      <c r="Q185" s="23">
        <v>2260</v>
      </c>
      <c r="R185" s="23">
        <f t="shared" si="5"/>
        <v>450</v>
      </c>
      <c r="S185" s="2" t="s">
        <v>86</v>
      </c>
      <c r="T185" s="11" t="s">
        <v>92</v>
      </c>
      <c r="U185" s="2"/>
    </row>
    <row r="186" spans="1:21" x14ac:dyDescent="0.45">
      <c r="A186" s="6" t="s">
        <v>440</v>
      </c>
      <c r="B186" s="21" t="s">
        <v>441</v>
      </c>
      <c r="C186" s="20">
        <f t="shared" si="4"/>
        <v>45515</v>
      </c>
      <c r="D186" s="6" t="s">
        <v>34</v>
      </c>
      <c r="E186" s="6" t="s">
        <v>35</v>
      </c>
      <c r="F186" s="6" t="s">
        <v>36</v>
      </c>
      <c r="G186" s="6" t="s">
        <v>25</v>
      </c>
      <c r="H186" s="6" t="s">
        <v>37</v>
      </c>
      <c r="I186" s="6" t="s">
        <v>38</v>
      </c>
      <c r="J186" s="6" t="s">
        <v>39</v>
      </c>
      <c r="K186" s="6" t="s">
        <v>40</v>
      </c>
      <c r="L186" s="6">
        <v>5</v>
      </c>
      <c r="M186" s="7">
        <v>150</v>
      </c>
      <c r="N186" s="8">
        <v>0</v>
      </c>
      <c r="O186" s="24">
        <v>0</v>
      </c>
      <c r="P186" s="24">
        <v>10</v>
      </c>
      <c r="Q186" s="24">
        <v>760</v>
      </c>
      <c r="R186" s="23">
        <f t="shared" si="5"/>
        <v>150</v>
      </c>
      <c r="S186" s="6" t="s">
        <v>50</v>
      </c>
      <c r="T186" s="11" t="s">
        <v>92</v>
      </c>
      <c r="U186" s="6"/>
    </row>
    <row r="187" spans="1:21" x14ac:dyDescent="0.45">
      <c r="A187" s="2" t="s">
        <v>442</v>
      </c>
      <c r="B187" s="20" t="s">
        <v>443</v>
      </c>
      <c r="C187" s="20">
        <f t="shared" si="4"/>
        <v>45405</v>
      </c>
      <c r="D187" s="2" t="s">
        <v>137</v>
      </c>
      <c r="E187" s="2" t="s">
        <v>138</v>
      </c>
      <c r="F187" s="2" t="s">
        <v>139</v>
      </c>
      <c r="G187" s="2" t="s">
        <v>25</v>
      </c>
      <c r="H187" s="2" t="s">
        <v>98</v>
      </c>
      <c r="I187" s="2" t="s">
        <v>99</v>
      </c>
      <c r="J187" s="2" t="s">
        <v>100</v>
      </c>
      <c r="K187" s="2" t="s">
        <v>101</v>
      </c>
      <c r="L187" s="2">
        <v>2</v>
      </c>
      <c r="M187" s="3">
        <v>18</v>
      </c>
      <c r="N187" s="4">
        <v>0</v>
      </c>
      <c r="O187" s="23">
        <v>0</v>
      </c>
      <c r="P187" s="23">
        <v>15</v>
      </c>
      <c r="Q187" s="23">
        <v>51</v>
      </c>
      <c r="R187" s="23">
        <f t="shared" si="5"/>
        <v>7.2</v>
      </c>
      <c r="S187" s="2" t="s">
        <v>41</v>
      </c>
      <c r="T187" s="5" t="s">
        <v>31</v>
      </c>
      <c r="U187" s="2">
        <v>5</v>
      </c>
    </row>
    <row r="188" spans="1:21" x14ac:dyDescent="0.45">
      <c r="A188" s="6" t="s">
        <v>444</v>
      </c>
      <c r="B188" s="21" t="s">
        <v>445</v>
      </c>
      <c r="C188" s="20">
        <f t="shared" si="4"/>
        <v>45391</v>
      </c>
      <c r="D188" s="6" t="s">
        <v>137</v>
      </c>
      <c r="E188" s="6" t="s">
        <v>138</v>
      </c>
      <c r="F188" s="6" t="s">
        <v>139</v>
      </c>
      <c r="G188" s="6" t="s">
        <v>25</v>
      </c>
      <c r="H188" s="6" t="s">
        <v>56</v>
      </c>
      <c r="I188" s="6" t="s">
        <v>57</v>
      </c>
      <c r="J188" s="6" t="s">
        <v>58</v>
      </c>
      <c r="K188" s="6" t="s">
        <v>59</v>
      </c>
      <c r="L188" s="6">
        <v>2</v>
      </c>
      <c r="M188" s="7">
        <v>79</v>
      </c>
      <c r="N188" s="8">
        <v>0</v>
      </c>
      <c r="O188" s="24">
        <v>0</v>
      </c>
      <c r="P188" s="24">
        <v>0</v>
      </c>
      <c r="Q188" s="24">
        <v>158</v>
      </c>
      <c r="R188" s="23">
        <f t="shared" si="5"/>
        <v>31.6</v>
      </c>
      <c r="S188" s="6" t="s">
        <v>86</v>
      </c>
      <c r="T188" s="5" t="s">
        <v>31</v>
      </c>
      <c r="U188" s="6">
        <v>2</v>
      </c>
    </row>
    <row r="189" spans="1:21" x14ac:dyDescent="0.45">
      <c r="A189" s="2" t="s">
        <v>446</v>
      </c>
      <c r="B189" s="20" t="s">
        <v>447</v>
      </c>
      <c r="C189" s="20">
        <f t="shared" si="4"/>
        <v>45600</v>
      </c>
      <c r="D189" s="2" t="s">
        <v>123</v>
      </c>
      <c r="E189" s="2" t="s">
        <v>124</v>
      </c>
      <c r="F189" s="2" t="s">
        <v>125</v>
      </c>
      <c r="G189" s="2" t="s">
        <v>25</v>
      </c>
      <c r="H189" s="2" t="s">
        <v>98</v>
      </c>
      <c r="I189" s="2" t="s">
        <v>99</v>
      </c>
      <c r="J189" s="2" t="s">
        <v>100</v>
      </c>
      <c r="K189" s="2" t="s">
        <v>101</v>
      </c>
      <c r="L189" s="2">
        <v>1</v>
      </c>
      <c r="M189" s="3">
        <v>18</v>
      </c>
      <c r="N189" s="4">
        <v>0</v>
      </c>
      <c r="O189" s="23">
        <v>0</v>
      </c>
      <c r="P189" s="23">
        <v>10</v>
      </c>
      <c r="Q189" s="23">
        <v>28</v>
      </c>
      <c r="R189" s="23">
        <f t="shared" si="5"/>
        <v>3.6</v>
      </c>
      <c r="S189" s="2" t="s">
        <v>41</v>
      </c>
      <c r="T189" s="5" t="s">
        <v>31</v>
      </c>
      <c r="U189" s="2">
        <v>5</v>
      </c>
    </row>
    <row r="190" spans="1:21" x14ac:dyDescent="0.45">
      <c r="A190" s="6" t="s">
        <v>448</v>
      </c>
      <c r="B190" s="21" t="s">
        <v>161</v>
      </c>
      <c r="C190" s="20">
        <f t="shared" si="4"/>
        <v>45521</v>
      </c>
      <c r="D190" s="6" t="s">
        <v>34</v>
      </c>
      <c r="E190" s="6" t="s">
        <v>35</v>
      </c>
      <c r="F190" s="6" t="s">
        <v>36</v>
      </c>
      <c r="G190" s="6" t="s">
        <v>25</v>
      </c>
      <c r="H190" s="6" t="s">
        <v>115</v>
      </c>
      <c r="I190" s="6" t="s">
        <v>116</v>
      </c>
      <c r="J190" s="6" t="s">
        <v>117</v>
      </c>
      <c r="K190" s="6" t="s">
        <v>118</v>
      </c>
      <c r="L190" s="6">
        <v>5</v>
      </c>
      <c r="M190" s="7">
        <v>120</v>
      </c>
      <c r="N190" s="8">
        <v>0</v>
      </c>
      <c r="O190" s="24">
        <v>0</v>
      </c>
      <c r="P190" s="24">
        <v>5</v>
      </c>
      <c r="Q190" s="24">
        <v>605</v>
      </c>
      <c r="R190" s="23">
        <f t="shared" si="5"/>
        <v>120</v>
      </c>
      <c r="S190" s="6" t="s">
        <v>30</v>
      </c>
      <c r="T190" s="5" t="s">
        <v>31</v>
      </c>
      <c r="U190" s="6">
        <v>4</v>
      </c>
    </row>
    <row r="191" spans="1:21" x14ac:dyDescent="0.45">
      <c r="A191" s="2" t="s">
        <v>449</v>
      </c>
      <c r="B191" s="20" t="s">
        <v>450</v>
      </c>
      <c r="C191" s="20">
        <f t="shared" si="4"/>
        <v>45518</v>
      </c>
      <c r="D191" s="2" t="s">
        <v>83</v>
      </c>
      <c r="E191" s="2" t="s">
        <v>84</v>
      </c>
      <c r="F191" s="2" t="s">
        <v>85</v>
      </c>
      <c r="G191" s="2" t="s">
        <v>25</v>
      </c>
      <c r="H191" s="2" t="s">
        <v>98</v>
      </c>
      <c r="I191" s="2" t="s">
        <v>99</v>
      </c>
      <c r="J191" s="2" t="s">
        <v>100</v>
      </c>
      <c r="K191" s="2" t="s">
        <v>101</v>
      </c>
      <c r="L191" s="2">
        <v>3</v>
      </c>
      <c r="M191" s="3">
        <v>18</v>
      </c>
      <c r="N191" s="4">
        <v>10</v>
      </c>
      <c r="O191" s="23">
        <v>5.4</v>
      </c>
      <c r="P191" s="23">
        <v>0</v>
      </c>
      <c r="Q191" s="23">
        <v>48.6</v>
      </c>
      <c r="R191" s="23">
        <f t="shared" si="5"/>
        <v>9.7200000000000006</v>
      </c>
      <c r="S191" s="2" t="s">
        <v>30</v>
      </c>
      <c r="T191" s="5" t="s">
        <v>31</v>
      </c>
      <c r="U191" s="2">
        <v>3</v>
      </c>
    </row>
    <row r="192" spans="1:21" x14ac:dyDescent="0.45">
      <c r="A192" s="6" t="s">
        <v>451</v>
      </c>
      <c r="B192" s="21" t="s">
        <v>88</v>
      </c>
      <c r="C192" s="20">
        <f t="shared" si="4"/>
        <v>45528</v>
      </c>
      <c r="D192" s="6" t="s">
        <v>104</v>
      </c>
      <c r="E192" s="6" t="s">
        <v>105</v>
      </c>
      <c r="F192" s="6" t="s">
        <v>106</v>
      </c>
      <c r="G192" s="6" t="s">
        <v>25</v>
      </c>
      <c r="H192" s="6" t="s">
        <v>26</v>
      </c>
      <c r="I192" s="6" t="s">
        <v>27</v>
      </c>
      <c r="J192" s="6" t="s">
        <v>28</v>
      </c>
      <c r="K192" s="6" t="s">
        <v>29</v>
      </c>
      <c r="L192" s="6">
        <v>1</v>
      </c>
      <c r="M192" s="7">
        <v>999</v>
      </c>
      <c r="N192" s="8">
        <v>0</v>
      </c>
      <c r="O192" s="24">
        <v>0</v>
      </c>
      <c r="P192" s="24">
        <v>5</v>
      </c>
      <c r="Q192" s="24">
        <v>1004</v>
      </c>
      <c r="R192" s="23">
        <f t="shared" si="5"/>
        <v>199.8</v>
      </c>
      <c r="S192" s="6" t="s">
        <v>30</v>
      </c>
      <c r="T192" s="5" t="s">
        <v>31</v>
      </c>
      <c r="U192" s="6">
        <v>5</v>
      </c>
    </row>
    <row r="193" spans="1:21" x14ac:dyDescent="0.45">
      <c r="A193" s="2" t="s">
        <v>452</v>
      </c>
      <c r="B193" s="20" t="s">
        <v>453</v>
      </c>
      <c r="C193" s="20">
        <f t="shared" si="4"/>
        <v>45596</v>
      </c>
      <c r="D193" s="2" t="s">
        <v>44</v>
      </c>
      <c r="E193" s="2" t="s">
        <v>45</v>
      </c>
      <c r="F193" s="2" t="s">
        <v>46</v>
      </c>
      <c r="G193" s="2" t="s">
        <v>25</v>
      </c>
      <c r="H193" s="2" t="s">
        <v>37</v>
      </c>
      <c r="I193" s="2" t="s">
        <v>38</v>
      </c>
      <c r="J193" s="2" t="s">
        <v>39</v>
      </c>
      <c r="K193" s="2" t="s">
        <v>40</v>
      </c>
      <c r="L193" s="2">
        <v>4</v>
      </c>
      <c r="M193" s="3">
        <v>150</v>
      </c>
      <c r="N193" s="4">
        <v>10</v>
      </c>
      <c r="O193" s="23">
        <v>60</v>
      </c>
      <c r="P193" s="23">
        <v>15</v>
      </c>
      <c r="Q193" s="23">
        <v>555</v>
      </c>
      <c r="R193" s="23">
        <f t="shared" si="5"/>
        <v>108</v>
      </c>
      <c r="S193" s="2" t="s">
        <v>30</v>
      </c>
      <c r="T193" s="9" t="s">
        <v>60</v>
      </c>
      <c r="U193" s="2"/>
    </row>
    <row r="194" spans="1:21" x14ac:dyDescent="0.45">
      <c r="A194" s="6" t="s">
        <v>454</v>
      </c>
      <c r="B194" s="21" t="s">
        <v>455</v>
      </c>
      <c r="C194" s="20">
        <f t="shared" si="4"/>
        <v>45522</v>
      </c>
      <c r="D194" s="6" t="s">
        <v>34</v>
      </c>
      <c r="E194" s="6" t="s">
        <v>35</v>
      </c>
      <c r="F194" s="6" t="s">
        <v>36</v>
      </c>
      <c r="G194" s="6" t="s">
        <v>25</v>
      </c>
      <c r="H194" s="6" t="s">
        <v>115</v>
      </c>
      <c r="I194" s="6" t="s">
        <v>116</v>
      </c>
      <c r="J194" s="6" t="s">
        <v>117</v>
      </c>
      <c r="K194" s="6" t="s">
        <v>118</v>
      </c>
      <c r="L194" s="6">
        <v>2</v>
      </c>
      <c r="M194" s="7">
        <v>120</v>
      </c>
      <c r="N194" s="8">
        <v>0</v>
      </c>
      <c r="O194" s="24">
        <v>0</v>
      </c>
      <c r="P194" s="24">
        <v>15</v>
      </c>
      <c r="Q194" s="24">
        <v>255</v>
      </c>
      <c r="R194" s="23">
        <f t="shared" si="5"/>
        <v>48</v>
      </c>
      <c r="S194" s="6" t="s">
        <v>86</v>
      </c>
      <c r="T194" s="5" t="s">
        <v>31</v>
      </c>
      <c r="U194" s="6">
        <v>1</v>
      </c>
    </row>
    <row r="195" spans="1:21" x14ac:dyDescent="0.45">
      <c r="A195" s="2" t="s">
        <v>456</v>
      </c>
      <c r="B195" s="20" t="s">
        <v>455</v>
      </c>
      <c r="C195" s="20">
        <f t="shared" si="4"/>
        <v>45522</v>
      </c>
      <c r="D195" s="2" t="s">
        <v>22</v>
      </c>
      <c r="E195" s="2" t="s">
        <v>23</v>
      </c>
      <c r="F195" s="2" t="s">
        <v>24</v>
      </c>
      <c r="G195" s="2" t="s">
        <v>25</v>
      </c>
      <c r="H195" s="2" t="s">
        <v>98</v>
      </c>
      <c r="I195" s="2" t="s">
        <v>99</v>
      </c>
      <c r="J195" s="2" t="s">
        <v>100</v>
      </c>
      <c r="K195" s="2" t="s">
        <v>101</v>
      </c>
      <c r="L195" s="2">
        <v>3</v>
      </c>
      <c r="M195" s="3">
        <v>18</v>
      </c>
      <c r="N195" s="4">
        <v>15</v>
      </c>
      <c r="O195" s="23">
        <v>8.1</v>
      </c>
      <c r="P195" s="23">
        <v>0</v>
      </c>
      <c r="Q195" s="23">
        <v>45.9</v>
      </c>
      <c r="R195" s="23">
        <f t="shared" si="5"/>
        <v>9.18</v>
      </c>
      <c r="S195" s="2" t="s">
        <v>86</v>
      </c>
      <c r="T195" s="5" t="s">
        <v>31</v>
      </c>
      <c r="U195" s="2">
        <v>1</v>
      </c>
    </row>
    <row r="196" spans="1:21" x14ac:dyDescent="0.45">
      <c r="A196" s="6" t="s">
        <v>457</v>
      </c>
      <c r="B196" s="21" t="s">
        <v>458</v>
      </c>
      <c r="C196" s="20">
        <f t="shared" ref="C196:C202" si="6">DATEVALUE(B196)</f>
        <v>45418</v>
      </c>
      <c r="D196" s="6" t="s">
        <v>104</v>
      </c>
      <c r="E196" s="6" t="s">
        <v>105</v>
      </c>
      <c r="F196" s="6" t="s">
        <v>106</v>
      </c>
      <c r="G196" s="6" t="s">
        <v>25</v>
      </c>
      <c r="H196" s="6" t="s">
        <v>140</v>
      </c>
      <c r="I196" s="6" t="s">
        <v>141</v>
      </c>
      <c r="J196" s="6" t="s">
        <v>39</v>
      </c>
      <c r="K196" s="6" t="s">
        <v>142</v>
      </c>
      <c r="L196" s="6">
        <v>5</v>
      </c>
      <c r="M196" s="7">
        <v>180</v>
      </c>
      <c r="N196" s="8">
        <v>10</v>
      </c>
      <c r="O196" s="24">
        <v>90</v>
      </c>
      <c r="P196" s="24">
        <v>15</v>
      </c>
      <c r="Q196" s="24">
        <v>825</v>
      </c>
      <c r="R196" s="23">
        <f t="shared" ref="R196:R202" si="7">(Q196-P196) * 0.2</f>
        <v>162</v>
      </c>
      <c r="S196" s="6" t="s">
        <v>50</v>
      </c>
      <c r="T196" s="5" t="s">
        <v>31</v>
      </c>
      <c r="U196" s="6">
        <v>3</v>
      </c>
    </row>
    <row r="197" spans="1:21" x14ac:dyDescent="0.45">
      <c r="A197" s="2" t="s">
        <v>459</v>
      </c>
      <c r="B197" s="20" t="s">
        <v>460</v>
      </c>
      <c r="C197" s="20">
        <f t="shared" si="6"/>
        <v>45490</v>
      </c>
      <c r="D197" s="2" t="s">
        <v>53</v>
      </c>
      <c r="E197" s="2" t="s">
        <v>54</v>
      </c>
      <c r="F197" s="2" t="s">
        <v>55</v>
      </c>
      <c r="G197" s="2" t="s">
        <v>25</v>
      </c>
      <c r="H197" s="2" t="s">
        <v>98</v>
      </c>
      <c r="I197" s="2" t="s">
        <v>99</v>
      </c>
      <c r="J197" s="2" t="s">
        <v>100</v>
      </c>
      <c r="K197" s="2" t="s">
        <v>101</v>
      </c>
      <c r="L197" s="2">
        <v>3</v>
      </c>
      <c r="M197" s="3">
        <v>18</v>
      </c>
      <c r="N197" s="4">
        <v>15</v>
      </c>
      <c r="O197" s="23">
        <v>8.1</v>
      </c>
      <c r="P197" s="23">
        <v>15</v>
      </c>
      <c r="Q197" s="23">
        <v>60.9</v>
      </c>
      <c r="R197" s="23">
        <f t="shared" si="7"/>
        <v>9.18</v>
      </c>
      <c r="S197" s="2" t="s">
        <v>50</v>
      </c>
      <c r="T197" s="5" t="s">
        <v>31</v>
      </c>
      <c r="U197" s="2">
        <v>1</v>
      </c>
    </row>
    <row r="198" spans="1:21" x14ac:dyDescent="0.45">
      <c r="A198" s="6" t="s">
        <v>461</v>
      </c>
      <c r="B198" s="21" t="s">
        <v>214</v>
      </c>
      <c r="C198" s="20">
        <f t="shared" si="6"/>
        <v>45460</v>
      </c>
      <c r="D198" s="6" t="s">
        <v>22</v>
      </c>
      <c r="E198" s="6" t="s">
        <v>23</v>
      </c>
      <c r="F198" s="6" t="s">
        <v>24</v>
      </c>
      <c r="G198" s="6" t="s">
        <v>25</v>
      </c>
      <c r="H198" s="6" t="s">
        <v>126</v>
      </c>
      <c r="I198" s="6" t="s">
        <v>127</v>
      </c>
      <c r="J198" s="6" t="s">
        <v>128</v>
      </c>
      <c r="K198" s="6" t="s">
        <v>129</v>
      </c>
      <c r="L198" s="6">
        <v>4</v>
      </c>
      <c r="M198" s="7">
        <v>35</v>
      </c>
      <c r="N198" s="8">
        <v>0</v>
      </c>
      <c r="O198" s="24">
        <v>0</v>
      </c>
      <c r="P198" s="24">
        <v>5</v>
      </c>
      <c r="Q198" s="24">
        <v>145</v>
      </c>
      <c r="R198" s="23">
        <f t="shared" si="7"/>
        <v>28</v>
      </c>
      <c r="S198" s="6" t="s">
        <v>41</v>
      </c>
      <c r="T198" s="10" t="s">
        <v>78</v>
      </c>
      <c r="U198" s="6"/>
    </row>
    <row r="199" spans="1:21" x14ac:dyDescent="0.45">
      <c r="A199" s="2" t="s">
        <v>462</v>
      </c>
      <c r="B199" s="20" t="s">
        <v>303</v>
      </c>
      <c r="C199" s="20">
        <f t="shared" si="6"/>
        <v>45368</v>
      </c>
      <c r="D199" s="2" t="s">
        <v>137</v>
      </c>
      <c r="E199" s="2" t="s">
        <v>138</v>
      </c>
      <c r="F199" s="2" t="s">
        <v>139</v>
      </c>
      <c r="G199" s="2" t="s">
        <v>25</v>
      </c>
      <c r="H199" s="2" t="s">
        <v>150</v>
      </c>
      <c r="I199" s="2" t="s">
        <v>151</v>
      </c>
      <c r="J199" s="2" t="s">
        <v>28</v>
      </c>
      <c r="K199" s="2" t="s">
        <v>68</v>
      </c>
      <c r="L199" s="2">
        <v>5</v>
      </c>
      <c r="M199" s="3">
        <v>849</v>
      </c>
      <c r="N199" s="4">
        <v>15</v>
      </c>
      <c r="O199" s="23">
        <v>636.75</v>
      </c>
      <c r="P199" s="23">
        <v>0</v>
      </c>
      <c r="Q199" s="23">
        <v>3608.25</v>
      </c>
      <c r="R199" s="23">
        <f t="shared" si="7"/>
        <v>721.65000000000009</v>
      </c>
      <c r="S199" s="2" t="s">
        <v>50</v>
      </c>
      <c r="T199" s="9" t="s">
        <v>60</v>
      </c>
      <c r="U199" s="2"/>
    </row>
    <row r="200" spans="1:21" x14ac:dyDescent="0.45">
      <c r="A200" s="6" t="s">
        <v>463</v>
      </c>
      <c r="B200" s="21" t="s">
        <v>230</v>
      </c>
      <c r="C200" s="20">
        <f t="shared" si="6"/>
        <v>45627</v>
      </c>
      <c r="D200" s="6" t="s">
        <v>53</v>
      </c>
      <c r="E200" s="6" t="s">
        <v>54</v>
      </c>
      <c r="F200" s="6" t="s">
        <v>55</v>
      </c>
      <c r="G200" s="6" t="s">
        <v>25</v>
      </c>
      <c r="H200" s="6" t="s">
        <v>132</v>
      </c>
      <c r="I200" s="6" t="s">
        <v>133</v>
      </c>
      <c r="J200" s="6" t="s">
        <v>28</v>
      </c>
      <c r="K200" s="6" t="s">
        <v>134</v>
      </c>
      <c r="L200" s="6">
        <v>5</v>
      </c>
      <c r="M200" s="7">
        <v>1299</v>
      </c>
      <c r="N200" s="8">
        <v>15</v>
      </c>
      <c r="O200" s="24">
        <v>974.25</v>
      </c>
      <c r="P200" s="24">
        <v>0</v>
      </c>
      <c r="Q200" s="24">
        <v>5520.75</v>
      </c>
      <c r="R200" s="23">
        <f t="shared" si="7"/>
        <v>1104.1500000000001</v>
      </c>
      <c r="S200" s="6" t="s">
        <v>187</v>
      </c>
      <c r="T200" s="5" t="s">
        <v>31</v>
      </c>
      <c r="U200" s="6">
        <v>3</v>
      </c>
    </row>
    <row r="201" spans="1:21" x14ac:dyDescent="0.45">
      <c r="A201" s="2" t="s">
        <v>464</v>
      </c>
      <c r="B201" s="20" t="s">
        <v>226</v>
      </c>
      <c r="C201" s="20">
        <f t="shared" si="6"/>
        <v>45357</v>
      </c>
      <c r="D201" s="2" t="s">
        <v>44</v>
      </c>
      <c r="E201" s="2" t="s">
        <v>45</v>
      </c>
      <c r="F201" s="2" t="s">
        <v>46</v>
      </c>
      <c r="G201" s="2" t="s">
        <v>25</v>
      </c>
      <c r="H201" s="2" t="s">
        <v>150</v>
      </c>
      <c r="I201" s="2" t="s">
        <v>151</v>
      </c>
      <c r="J201" s="2" t="s">
        <v>28</v>
      </c>
      <c r="K201" s="2" t="s">
        <v>68</v>
      </c>
      <c r="L201" s="2">
        <v>4</v>
      </c>
      <c r="M201" s="3">
        <v>849</v>
      </c>
      <c r="N201" s="4">
        <v>10</v>
      </c>
      <c r="O201" s="23">
        <v>339.6</v>
      </c>
      <c r="P201" s="23">
        <v>5</v>
      </c>
      <c r="Q201" s="23">
        <v>3061.4</v>
      </c>
      <c r="R201" s="23">
        <f t="shared" si="7"/>
        <v>611.28000000000009</v>
      </c>
      <c r="S201" s="2" t="s">
        <v>50</v>
      </c>
      <c r="T201" s="5" t="s">
        <v>31</v>
      </c>
      <c r="U201" s="2">
        <v>2</v>
      </c>
    </row>
    <row r="202" spans="1:21" x14ac:dyDescent="0.45">
      <c r="A202" s="6" t="s">
        <v>465</v>
      </c>
      <c r="B202" s="21" t="s">
        <v>466</v>
      </c>
      <c r="C202" s="20">
        <f t="shared" si="6"/>
        <v>45401</v>
      </c>
      <c r="D202" s="6" t="s">
        <v>137</v>
      </c>
      <c r="E202" s="6" t="s">
        <v>138</v>
      </c>
      <c r="F202" s="6" t="s">
        <v>139</v>
      </c>
      <c r="G202" s="6" t="s">
        <v>25</v>
      </c>
      <c r="H202" s="6" t="s">
        <v>98</v>
      </c>
      <c r="I202" s="6" t="s">
        <v>99</v>
      </c>
      <c r="J202" s="6" t="s">
        <v>100</v>
      </c>
      <c r="K202" s="6" t="s">
        <v>101</v>
      </c>
      <c r="L202" s="6">
        <v>4</v>
      </c>
      <c r="M202" s="7">
        <v>18</v>
      </c>
      <c r="N202" s="8">
        <v>0</v>
      </c>
      <c r="O202" s="24">
        <v>0</v>
      </c>
      <c r="P202" s="24">
        <v>0</v>
      </c>
      <c r="Q202" s="24">
        <v>72</v>
      </c>
      <c r="R202" s="23">
        <f t="shared" si="7"/>
        <v>14.4</v>
      </c>
      <c r="S202" s="6" t="s">
        <v>86</v>
      </c>
      <c r="T202" s="12" t="s">
        <v>206</v>
      </c>
      <c r="U202" s="6"/>
    </row>
  </sheetData>
  <mergeCells count="1">
    <mergeCell ref="A1:U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selection activeCell="C25" sqref="C25"/>
    </sheetView>
  </sheetViews>
  <sheetFormatPr defaultRowHeight="14.25" x14ac:dyDescent="0.45"/>
  <cols>
    <col min="1" max="1" width="12" customWidth="1"/>
    <col min="2" max="2" width="30" customWidth="1"/>
    <col min="3" max="3" width="18" customWidth="1"/>
    <col min="4" max="4" width="14" customWidth="1"/>
    <col min="5" max="5" width="12" customWidth="1"/>
    <col min="6" max="6" width="14" customWidth="1"/>
  </cols>
  <sheetData>
    <row r="1" spans="1:6" ht="30" customHeight="1" x14ac:dyDescent="0.45">
      <c r="A1" s="33" t="s">
        <v>468</v>
      </c>
      <c r="B1" s="31"/>
      <c r="C1" s="31"/>
      <c r="D1" s="31"/>
      <c r="E1" s="31"/>
      <c r="F1" s="31"/>
    </row>
    <row r="2" spans="1:6" x14ac:dyDescent="0.45">
      <c r="A2" s="1" t="s">
        <v>7</v>
      </c>
      <c r="B2" s="1" t="s">
        <v>8</v>
      </c>
      <c r="C2" s="1" t="s">
        <v>9</v>
      </c>
      <c r="D2" s="1" t="s">
        <v>10</v>
      </c>
      <c r="E2" s="1" t="s">
        <v>469</v>
      </c>
      <c r="F2" s="1" t="s">
        <v>470</v>
      </c>
    </row>
    <row r="3" spans="1:6" x14ac:dyDescent="0.45">
      <c r="A3" s="2" t="s">
        <v>26</v>
      </c>
      <c r="B3" s="2" t="s">
        <v>27</v>
      </c>
      <c r="C3" s="2" t="s">
        <v>28</v>
      </c>
      <c r="D3" s="2" t="s">
        <v>29</v>
      </c>
      <c r="E3" s="3">
        <v>999</v>
      </c>
      <c r="F3" s="2" t="s">
        <v>471</v>
      </c>
    </row>
    <row r="4" spans="1:6" x14ac:dyDescent="0.45">
      <c r="A4" s="13" t="s">
        <v>150</v>
      </c>
      <c r="B4" s="13" t="s">
        <v>151</v>
      </c>
      <c r="C4" s="13" t="s">
        <v>28</v>
      </c>
      <c r="D4" s="13" t="s">
        <v>68</v>
      </c>
      <c r="E4" s="14">
        <v>849</v>
      </c>
      <c r="F4" s="13" t="s">
        <v>471</v>
      </c>
    </row>
    <row r="5" spans="1:6" x14ac:dyDescent="0.45">
      <c r="A5" s="2" t="s">
        <v>132</v>
      </c>
      <c r="B5" s="2" t="s">
        <v>133</v>
      </c>
      <c r="C5" s="2" t="s">
        <v>28</v>
      </c>
      <c r="D5" s="2" t="s">
        <v>134</v>
      </c>
      <c r="E5" s="3">
        <v>1299</v>
      </c>
      <c r="F5" s="2" t="s">
        <v>471</v>
      </c>
    </row>
    <row r="6" spans="1:6" x14ac:dyDescent="0.45">
      <c r="A6" s="13" t="s">
        <v>47</v>
      </c>
      <c r="B6" s="13" t="s">
        <v>48</v>
      </c>
      <c r="C6" s="13" t="s">
        <v>28</v>
      </c>
      <c r="D6" s="13" t="s">
        <v>49</v>
      </c>
      <c r="E6" s="14">
        <v>349</v>
      </c>
      <c r="F6" s="15" t="s">
        <v>472</v>
      </c>
    </row>
    <row r="7" spans="1:6" x14ac:dyDescent="0.45">
      <c r="A7" s="2" t="s">
        <v>89</v>
      </c>
      <c r="B7" s="2" t="s">
        <v>90</v>
      </c>
      <c r="C7" s="2" t="s">
        <v>58</v>
      </c>
      <c r="D7" s="2" t="s">
        <v>91</v>
      </c>
      <c r="E7" s="3">
        <v>29</v>
      </c>
      <c r="F7" s="15" t="s">
        <v>472</v>
      </c>
    </row>
    <row r="8" spans="1:6" x14ac:dyDescent="0.45">
      <c r="A8" s="13" t="s">
        <v>56</v>
      </c>
      <c r="B8" s="13" t="s">
        <v>57</v>
      </c>
      <c r="C8" s="13" t="s">
        <v>58</v>
      </c>
      <c r="D8" s="13" t="s">
        <v>59</v>
      </c>
      <c r="E8" s="14">
        <v>79</v>
      </c>
      <c r="F8" s="15" t="s">
        <v>472</v>
      </c>
    </row>
    <row r="9" spans="1:6" x14ac:dyDescent="0.45">
      <c r="A9" s="2" t="s">
        <v>37</v>
      </c>
      <c r="B9" s="2" t="s">
        <v>38</v>
      </c>
      <c r="C9" s="2" t="s">
        <v>39</v>
      </c>
      <c r="D9" s="2" t="s">
        <v>40</v>
      </c>
      <c r="E9" s="3">
        <v>150</v>
      </c>
      <c r="F9" s="2" t="s">
        <v>471</v>
      </c>
    </row>
    <row r="10" spans="1:6" x14ac:dyDescent="0.45">
      <c r="A10" s="13" t="s">
        <v>140</v>
      </c>
      <c r="B10" s="13" t="s">
        <v>141</v>
      </c>
      <c r="C10" s="13" t="s">
        <v>39</v>
      </c>
      <c r="D10" s="13" t="s">
        <v>142</v>
      </c>
      <c r="E10" s="14">
        <v>180</v>
      </c>
      <c r="F10" s="13" t="s">
        <v>471</v>
      </c>
    </row>
    <row r="11" spans="1:6" x14ac:dyDescent="0.45">
      <c r="A11" s="2" t="s">
        <v>126</v>
      </c>
      <c r="B11" s="2" t="s">
        <v>127</v>
      </c>
      <c r="C11" s="2" t="s">
        <v>128</v>
      </c>
      <c r="D11" s="2" t="s">
        <v>129</v>
      </c>
      <c r="E11" s="3">
        <v>35</v>
      </c>
      <c r="F11" s="15" t="s">
        <v>472</v>
      </c>
    </row>
    <row r="12" spans="1:6" x14ac:dyDescent="0.45">
      <c r="A12" s="13" t="s">
        <v>178</v>
      </c>
      <c r="B12" s="13" t="s">
        <v>179</v>
      </c>
      <c r="C12" s="13" t="s">
        <v>128</v>
      </c>
      <c r="D12" s="13" t="s">
        <v>180</v>
      </c>
      <c r="E12" s="14">
        <v>28</v>
      </c>
      <c r="F12" s="13" t="s">
        <v>471</v>
      </c>
    </row>
    <row r="13" spans="1:6" x14ac:dyDescent="0.45">
      <c r="A13" s="2" t="s">
        <v>115</v>
      </c>
      <c r="B13" s="2" t="s">
        <v>116</v>
      </c>
      <c r="C13" s="2" t="s">
        <v>117</v>
      </c>
      <c r="D13" s="2" t="s">
        <v>118</v>
      </c>
      <c r="E13" s="3">
        <v>120</v>
      </c>
      <c r="F13" s="15" t="s">
        <v>472</v>
      </c>
    </row>
    <row r="14" spans="1:6" x14ac:dyDescent="0.45">
      <c r="A14" s="13" t="s">
        <v>74</v>
      </c>
      <c r="B14" s="13" t="s">
        <v>75</v>
      </c>
      <c r="C14" s="13" t="s">
        <v>76</v>
      </c>
      <c r="D14" s="13" t="s">
        <v>77</v>
      </c>
      <c r="E14" s="14">
        <v>320</v>
      </c>
      <c r="F14" s="16" t="s">
        <v>473</v>
      </c>
    </row>
    <row r="15" spans="1:6" x14ac:dyDescent="0.45">
      <c r="A15" s="2" t="s">
        <v>98</v>
      </c>
      <c r="B15" s="2" t="s">
        <v>99</v>
      </c>
      <c r="C15" s="2" t="s">
        <v>100</v>
      </c>
      <c r="D15" s="2" t="s">
        <v>101</v>
      </c>
      <c r="E15" s="3">
        <v>18</v>
      </c>
      <c r="F15" s="2" t="s">
        <v>471</v>
      </c>
    </row>
    <row r="16" spans="1:6" x14ac:dyDescent="0.45">
      <c r="A16" s="13" t="s">
        <v>195</v>
      </c>
      <c r="B16" s="13" t="s">
        <v>196</v>
      </c>
      <c r="C16" s="13" t="s">
        <v>67</v>
      </c>
      <c r="D16" s="13" t="s">
        <v>197</v>
      </c>
      <c r="E16" s="14">
        <v>750</v>
      </c>
      <c r="F16" s="13" t="s">
        <v>471</v>
      </c>
    </row>
    <row r="17" spans="1:6" x14ac:dyDescent="0.45">
      <c r="A17" s="2" t="s">
        <v>65</v>
      </c>
      <c r="B17" s="2" t="s">
        <v>66</v>
      </c>
      <c r="C17" s="2" t="s">
        <v>67</v>
      </c>
      <c r="D17" s="2" t="s">
        <v>68</v>
      </c>
      <c r="E17" s="3">
        <v>1200</v>
      </c>
      <c r="F17" s="2" t="s">
        <v>471</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sqref="A1:G1"/>
    </sheetView>
  </sheetViews>
  <sheetFormatPr defaultRowHeight="14.25" x14ac:dyDescent="0.45"/>
  <cols>
    <col min="1" max="1" width="14" customWidth="1"/>
    <col min="2" max="2" width="20" customWidth="1"/>
    <col min="3" max="3" width="28" customWidth="1"/>
    <col min="4" max="4" width="16" customWidth="1"/>
    <col min="5" max="5" width="12" customWidth="1"/>
    <col min="6" max="6" width="14" customWidth="1"/>
    <col min="7" max="7" width="16" customWidth="1"/>
  </cols>
  <sheetData>
    <row r="1" spans="1:7" ht="30" customHeight="1" x14ac:dyDescent="0.45">
      <c r="A1" s="33" t="s">
        <v>474</v>
      </c>
      <c r="B1" s="31"/>
      <c r="C1" s="31"/>
      <c r="D1" s="31"/>
      <c r="E1" s="31"/>
      <c r="F1" s="31"/>
      <c r="G1" s="31"/>
    </row>
    <row r="2" spans="1:7" x14ac:dyDescent="0.45">
      <c r="A2" s="1" t="s">
        <v>3</v>
      </c>
      <c r="B2" s="1" t="s">
        <v>475</v>
      </c>
      <c r="C2" s="1" t="s">
        <v>476</v>
      </c>
      <c r="D2" s="1" t="s">
        <v>5</v>
      </c>
      <c r="E2" s="1" t="s">
        <v>6</v>
      </c>
      <c r="F2" s="1" t="s">
        <v>467</v>
      </c>
      <c r="G2" s="1" t="s">
        <v>477</v>
      </c>
    </row>
    <row r="3" spans="1:7" x14ac:dyDescent="0.45">
      <c r="A3" s="2" t="s">
        <v>95</v>
      </c>
      <c r="B3" s="2" t="s">
        <v>96</v>
      </c>
      <c r="C3" s="2" t="s">
        <v>478</v>
      </c>
      <c r="D3" s="2" t="s">
        <v>97</v>
      </c>
      <c r="E3" s="2" t="s">
        <v>25</v>
      </c>
      <c r="F3" s="2">
        <v>13</v>
      </c>
      <c r="G3" s="3">
        <v>15016.45</v>
      </c>
    </row>
    <row r="4" spans="1:7" x14ac:dyDescent="0.45">
      <c r="A4" s="13" t="s">
        <v>22</v>
      </c>
      <c r="B4" s="13" t="s">
        <v>23</v>
      </c>
      <c r="C4" s="13" t="s">
        <v>479</v>
      </c>
      <c r="D4" s="13" t="s">
        <v>24</v>
      </c>
      <c r="E4" s="13" t="s">
        <v>25</v>
      </c>
      <c r="F4" s="13">
        <v>24</v>
      </c>
      <c r="G4" s="14">
        <v>30368.05</v>
      </c>
    </row>
    <row r="5" spans="1:7" x14ac:dyDescent="0.45">
      <c r="A5" s="2" t="s">
        <v>123</v>
      </c>
      <c r="B5" s="2" t="s">
        <v>124</v>
      </c>
      <c r="C5" s="2" t="s">
        <v>480</v>
      </c>
      <c r="D5" s="2" t="s">
        <v>125</v>
      </c>
      <c r="E5" s="2" t="s">
        <v>25</v>
      </c>
      <c r="F5" s="2">
        <v>14</v>
      </c>
      <c r="G5" s="3">
        <v>14779.3</v>
      </c>
    </row>
    <row r="6" spans="1:7" x14ac:dyDescent="0.45">
      <c r="A6" s="13" t="s">
        <v>71</v>
      </c>
      <c r="B6" s="13" t="s">
        <v>72</v>
      </c>
      <c r="C6" s="13" t="s">
        <v>481</v>
      </c>
      <c r="D6" s="13" t="s">
        <v>73</v>
      </c>
      <c r="E6" s="13" t="s">
        <v>25</v>
      </c>
      <c r="F6" s="13">
        <v>21</v>
      </c>
      <c r="G6" s="14">
        <v>13481.1</v>
      </c>
    </row>
    <row r="7" spans="1:7" x14ac:dyDescent="0.45">
      <c r="A7" s="2" t="s">
        <v>83</v>
      </c>
      <c r="B7" s="2" t="s">
        <v>84</v>
      </c>
      <c r="C7" s="2" t="s">
        <v>482</v>
      </c>
      <c r="D7" s="2" t="s">
        <v>85</v>
      </c>
      <c r="E7" s="2" t="s">
        <v>25</v>
      </c>
      <c r="F7" s="2">
        <v>15</v>
      </c>
      <c r="G7" s="3">
        <v>15006.85</v>
      </c>
    </row>
    <row r="8" spans="1:7" x14ac:dyDescent="0.45">
      <c r="A8" s="13" t="s">
        <v>137</v>
      </c>
      <c r="B8" s="13" t="s">
        <v>138</v>
      </c>
      <c r="C8" s="13" t="s">
        <v>483</v>
      </c>
      <c r="D8" s="13" t="s">
        <v>139</v>
      </c>
      <c r="E8" s="13" t="s">
        <v>25</v>
      </c>
      <c r="F8" s="13">
        <v>20</v>
      </c>
      <c r="G8" s="14">
        <v>20014.650000000001</v>
      </c>
    </row>
    <row r="9" spans="1:7" x14ac:dyDescent="0.45">
      <c r="A9" s="2" t="s">
        <v>53</v>
      </c>
      <c r="B9" s="2" t="s">
        <v>54</v>
      </c>
      <c r="C9" s="2" t="s">
        <v>484</v>
      </c>
      <c r="D9" s="2" t="s">
        <v>55</v>
      </c>
      <c r="E9" s="2" t="s">
        <v>25</v>
      </c>
      <c r="F9" s="2">
        <v>27</v>
      </c>
      <c r="G9" s="3">
        <v>39828.050000000003</v>
      </c>
    </row>
    <row r="10" spans="1:7" x14ac:dyDescent="0.45">
      <c r="A10" s="13" t="s">
        <v>104</v>
      </c>
      <c r="B10" s="13" t="s">
        <v>105</v>
      </c>
      <c r="C10" s="13" t="s">
        <v>485</v>
      </c>
      <c r="D10" s="13" t="s">
        <v>106</v>
      </c>
      <c r="E10" s="13" t="s">
        <v>25</v>
      </c>
      <c r="F10" s="13">
        <v>23</v>
      </c>
      <c r="G10" s="14">
        <v>23599.7</v>
      </c>
    </row>
    <row r="11" spans="1:7" x14ac:dyDescent="0.45">
      <c r="A11" s="2" t="s">
        <v>44</v>
      </c>
      <c r="B11" s="2" t="s">
        <v>45</v>
      </c>
      <c r="C11" s="2" t="s">
        <v>486</v>
      </c>
      <c r="D11" s="2" t="s">
        <v>46</v>
      </c>
      <c r="E11" s="2" t="s">
        <v>25</v>
      </c>
      <c r="F11" s="2">
        <v>22</v>
      </c>
      <c r="G11" s="3">
        <v>29715.599999999999</v>
      </c>
    </row>
    <row r="12" spans="1:7" x14ac:dyDescent="0.45">
      <c r="A12" s="13" t="s">
        <v>34</v>
      </c>
      <c r="B12" s="13" t="s">
        <v>35</v>
      </c>
      <c r="C12" s="13" t="s">
        <v>487</v>
      </c>
      <c r="D12" s="13" t="s">
        <v>36</v>
      </c>
      <c r="E12" s="13" t="s">
        <v>25</v>
      </c>
      <c r="F12" s="13">
        <v>21</v>
      </c>
      <c r="G12" s="14">
        <v>15088.7</v>
      </c>
    </row>
  </sheetData>
  <mergeCells count="1">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showGridLines="0" tabSelected="1" workbookViewId="0">
      <selection activeCell="C42" sqref="C42"/>
    </sheetView>
  </sheetViews>
  <sheetFormatPr defaultRowHeight="14.25" x14ac:dyDescent="0.45"/>
  <cols>
    <col min="1" max="1" width="12.06640625" bestFit="1" customWidth="1"/>
    <col min="2" max="2" width="13.73046875" bestFit="1" customWidth="1"/>
    <col min="4" max="4" width="26.59765625" customWidth="1"/>
    <col min="5" max="5" width="14.1328125" bestFit="1" customWidth="1"/>
    <col min="7" max="7" width="14.3984375" customWidth="1"/>
    <col min="8" max="8" width="13.73046875" bestFit="1" customWidth="1"/>
    <col min="10" max="10" width="13.46484375" customWidth="1"/>
    <col min="11" max="11" width="13.73046875" bestFit="1" customWidth="1"/>
  </cols>
  <sheetData>
    <row r="1" spans="1:11" x14ac:dyDescent="0.45">
      <c r="A1" s="27" t="s">
        <v>490</v>
      </c>
      <c r="B1" t="s">
        <v>504</v>
      </c>
      <c r="D1" s="27" t="s">
        <v>490</v>
      </c>
      <c r="E1" t="s">
        <v>505</v>
      </c>
      <c r="G1" s="27" t="s">
        <v>490</v>
      </c>
      <c r="H1" t="s">
        <v>504</v>
      </c>
      <c r="J1" s="27" t="s">
        <v>490</v>
      </c>
      <c r="K1" t="s">
        <v>504</v>
      </c>
    </row>
    <row r="2" spans="1:11" x14ac:dyDescent="0.45">
      <c r="A2" s="28" t="s">
        <v>492</v>
      </c>
      <c r="B2" s="25">
        <v>15963.300000000001</v>
      </c>
      <c r="D2" s="28" t="s">
        <v>141</v>
      </c>
      <c r="E2" s="25">
        <v>1128.5999999999999</v>
      </c>
      <c r="G2" s="28" t="s">
        <v>100</v>
      </c>
      <c r="H2" s="25">
        <v>910.99999999999989</v>
      </c>
      <c r="J2" s="28" t="s">
        <v>105</v>
      </c>
      <c r="K2" s="25">
        <v>23599.699999999997</v>
      </c>
    </row>
    <row r="3" spans="1:11" x14ac:dyDescent="0.45">
      <c r="A3" s="28" t="s">
        <v>493</v>
      </c>
      <c r="B3" s="25">
        <v>16111.3</v>
      </c>
      <c r="D3" s="28" t="s">
        <v>196</v>
      </c>
      <c r="E3" s="25">
        <v>4065</v>
      </c>
      <c r="G3" s="28" t="s">
        <v>128</v>
      </c>
      <c r="H3" s="25">
        <v>2091.25</v>
      </c>
      <c r="J3" s="28" t="s">
        <v>54</v>
      </c>
      <c r="K3" s="25">
        <v>39828.05000000001</v>
      </c>
    </row>
    <row r="4" spans="1:11" x14ac:dyDescent="0.45">
      <c r="A4" s="28" t="s">
        <v>494</v>
      </c>
      <c r="B4" s="25">
        <v>15601.65</v>
      </c>
      <c r="D4" s="28" t="s">
        <v>116</v>
      </c>
      <c r="E4" s="25">
        <v>907.19999999999993</v>
      </c>
      <c r="G4" s="28" t="s">
        <v>58</v>
      </c>
      <c r="H4" s="25">
        <v>3776.75</v>
      </c>
      <c r="J4" s="28" t="s">
        <v>84</v>
      </c>
      <c r="K4" s="25">
        <v>15006.85</v>
      </c>
    </row>
    <row r="5" spans="1:11" x14ac:dyDescent="0.45">
      <c r="A5" s="28" t="s">
        <v>495</v>
      </c>
      <c r="B5" s="25">
        <v>8866.7999999999993</v>
      </c>
      <c r="D5" s="28" t="s">
        <v>75</v>
      </c>
      <c r="E5" s="25">
        <v>2441.6000000000004</v>
      </c>
      <c r="G5" s="28" t="s">
        <v>28</v>
      </c>
      <c r="H5" s="25">
        <v>129772.45</v>
      </c>
      <c r="J5" s="28" t="s">
        <v>23</v>
      </c>
      <c r="K5" s="25">
        <v>30368.05</v>
      </c>
    </row>
    <row r="6" spans="1:11" x14ac:dyDescent="0.45">
      <c r="A6" s="28" t="s">
        <v>496</v>
      </c>
      <c r="B6" s="25">
        <v>15388.349999999999</v>
      </c>
      <c r="D6" s="28" t="s">
        <v>90</v>
      </c>
      <c r="E6" s="25">
        <v>222.42999999999998</v>
      </c>
      <c r="G6" s="28" t="s">
        <v>67</v>
      </c>
      <c r="H6" s="25">
        <v>46220</v>
      </c>
      <c r="J6" s="28" t="s">
        <v>96</v>
      </c>
      <c r="K6" s="25">
        <v>15016.45</v>
      </c>
    </row>
    <row r="7" spans="1:11" x14ac:dyDescent="0.45">
      <c r="A7" s="28" t="s">
        <v>497</v>
      </c>
      <c r="B7" s="25">
        <v>12602</v>
      </c>
      <c r="D7" s="28" t="s">
        <v>133</v>
      </c>
      <c r="E7" s="25">
        <v>7832.9700000000012</v>
      </c>
      <c r="G7" s="28" t="s">
        <v>76</v>
      </c>
      <c r="H7" s="25">
        <v>12273</v>
      </c>
      <c r="J7" s="28" t="s">
        <v>138</v>
      </c>
      <c r="K7" s="25">
        <v>20014.650000000001</v>
      </c>
    </row>
    <row r="8" spans="1:11" x14ac:dyDescent="0.45">
      <c r="A8" s="28" t="s">
        <v>498</v>
      </c>
      <c r="B8" s="25">
        <v>20378.100000000002</v>
      </c>
      <c r="D8" s="28" t="s">
        <v>179</v>
      </c>
      <c r="E8" s="25">
        <v>238</v>
      </c>
      <c r="G8" s="28" t="s">
        <v>39</v>
      </c>
      <c r="H8" s="25">
        <v>17273</v>
      </c>
      <c r="J8" s="28" t="s">
        <v>35</v>
      </c>
      <c r="K8" s="25">
        <v>15088.7</v>
      </c>
    </row>
    <row r="9" spans="1:11" x14ac:dyDescent="0.45">
      <c r="A9" s="28" t="s">
        <v>499</v>
      </c>
      <c r="B9" s="25">
        <v>13171.2</v>
      </c>
      <c r="D9" s="28" t="s">
        <v>27</v>
      </c>
      <c r="E9" s="25">
        <v>7742.2500000000009</v>
      </c>
      <c r="G9" s="28" t="s">
        <v>117</v>
      </c>
      <c r="H9" s="25">
        <v>4581</v>
      </c>
      <c r="J9" s="28" t="s">
        <v>124</v>
      </c>
      <c r="K9" s="25">
        <v>14779.3</v>
      </c>
    </row>
    <row r="10" spans="1:11" x14ac:dyDescent="0.45">
      <c r="A10" s="28" t="s">
        <v>500</v>
      </c>
      <c r="B10" s="25">
        <v>15655.099999999999</v>
      </c>
      <c r="D10" s="28" t="s">
        <v>38</v>
      </c>
      <c r="E10" s="25">
        <v>2277</v>
      </c>
      <c r="G10" s="28" t="s">
        <v>491</v>
      </c>
      <c r="H10" s="25">
        <v>216898.45</v>
      </c>
      <c r="J10" s="28" t="s">
        <v>45</v>
      </c>
      <c r="K10" s="25">
        <v>29715.600000000002</v>
      </c>
    </row>
    <row r="11" spans="1:11" x14ac:dyDescent="0.45">
      <c r="A11" s="28" t="s">
        <v>501</v>
      </c>
      <c r="B11" s="25">
        <v>22895.9</v>
      </c>
      <c r="D11" s="28" t="s">
        <v>99</v>
      </c>
      <c r="E11" s="25">
        <v>160.20000000000002</v>
      </c>
      <c r="J11" s="28" t="s">
        <v>72</v>
      </c>
      <c r="K11" s="25">
        <v>13481.099999999999</v>
      </c>
    </row>
    <row r="12" spans="1:11" x14ac:dyDescent="0.45">
      <c r="A12" s="28" t="s">
        <v>502</v>
      </c>
      <c r="B12" s="25">
        <v>32413.15</v>
      </c>
      <c r="D12" s="28" t="s">
        <v>127</v>
      </c>
      <c r="E12" s="25">
        <v>159.25</v>
      </c>
      <c r="J12" s="28" t="s">
        <v>491</v>
      </c>
      <c r="K12" s="25">
        <v>216898.45</v>
      </c>
    </row>
    <row r="13" spans="1:11" x14ac:dyDescent="0.45">
      <c r="A13" s="28" t="s">
        <v>503</v>
      </c>
      <c r="B13" s="25">
        <v>27851.599999999995</v>
      </c>
      <c r="D13" s="28" t="s">
        <v>66</v>
      </c>
      <c r="E13" s="25">
        <v>5148</v>
      </c>
    </row>
    <row r="14" spans="1:11" x14ac:dyDescent="0.45">
      <c r="A14" s="28" t="s">
        <v>491</v>
      </c>
      <c r="B14" s="25">
        <v>216898.44999999998</v>
      </c>
      <c r="D14" s="28" t="s">
        <v>151</v>
      </c>
      <c r="E14" s="25">
        <v>7309.89</v>
      </c>
    </row>
    <row r="15" spans="1:11" x14ac:dyDescent="0.45">
      <c r="D15" s="28" t="s">
        <v>57</v>
      </c>
      <c r="E15" s="25">
        <v>511.92000000000007</v>
      </c>
    </row>
    <row r="16" spans="1:11" x14ac:dyDescent="0.45">
      <c r="D16" s="28" t="s">
        <v>48</v>
      </c>
      <c r="E16" s="25">
        <v>3008.38</v>
      </c>
    </row>
    <row r="17" spans="4:5" x14ac:dyDescent="0.45">
      <c r="D17" s="28" t="s">
        <v>491</v>
      </c>
      <c r="E17" s="25">
        <v>43152.69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7"/>
  <sheetViews>
    <sheetView showGridLines="0" zoomScale="94" zoomScaleNormal="94" workbookViewId="0">
      <selection activeCell="AB24" sqref="AB24"/>
    </sheetView>
  </sheetViews>
  <sheetFormatPr defaultRowHeight="14.25" x14ac:dyDescent="0.45"/>
  <sheetData>
    <row r="1" spans="1:30" x14ac:dyDescent="0.45">
      <c r="A1" s="19"/>
      <c r="B1" s="19"/>
      <c r="C1" s="19"/>
      <c r="D1" s="19"/>
      <c r="E1" s="19"/>
      <c r="F1" s="19"/>
      <c r="G1" s="19"/>
      <c r="H1" s="19"/>
      <c r="I1" s="19"/>
      <c r="J1" s="19"/>
      <c r="K1" s="19"/>
      <c r="L1" s="19"/>
      <c r="M1" s="19"/>
      <c r="N1" s="19"/>
      <c r="O1" s="19"/>
      <c r="P1" s="19"/>
      <c r="Q1" s="19"/>
      <c r="R1" s="19"/>
      <c r="S1" s="19"/>
      <c r="T1" s="19"/>
      <c r="U1" s="19"/>
      <c r="V1" s="19"/>
      <c r="W1" s="19"/>
      <c r="X1" s="19"/>
      <c r="Y1" s="29"/>
      <c r="Z1" s="29"/>
      <c r="AA1" s="29"/>
      <c r="AB1" s="29"/>
      <c r="AC1" s="29"/>
      <c r="AD1" s="29"/>
    </row>
    <row r="2" spans="1:30" x14ac:dyDescent="0.45">
      <c r="A2" s="19"/>
      <c r="B2" s="19"/>
      <c r="C2" s="19"/>
      <c r="D2" s="19"/>
      <c r="E2" s="19"/>
      <c r="F2" s="19"/>
      <c r="G2" s="19"/>
      <c r="H2" s="19"/>
      <c r="I2" s="19"/>
      <c r="J2" s="19"/>
      <c r="K2" s="19"/>
      <c r="L2" s="19"/>
      <c r="M2" s="19"/>
      <c r="N2" s="19"/>
      <c r="O2" s="19"/>
      <c r="P2" s="19"/>
      <c r="Q2" s="19"/>
      <c r="R2" s="19"/>
      <c r="S2" s="19"/>
      <c r="T2" s="19"/>
      <c r="U2" s="19"/>
      <c r="V2" s="19"/>
      <c r="W2" s="19"/>
      <c r="X2" s="19"/>
      <c r="Y2" s="29"/>
      <c r="Z2" s="29"/>
      <c r="AA2" s="29"/>
      <c r="AB2" s="29"/>
      <c r="AC2" s="29"/>
      <c r="AD2" s="29"/>
    </row>
    <row r="3" spans="1:30" x14ac:dyDescent="0.45">
      <c r="A3" s="19"/>
      <c r="B3" s="19"/>
      <c r="C3" s="19"/>
      <c r="D3" s="19"/>
      <c r="E3" s="19"/>
      <c r="F3" s="19"/>
      <c r="G3" s="19"/>
      <c r="H3" s="19"/>
      <c r="I3" s="19"/>
      <c r="J3" s="19"/>
      <c r="K3" s="19"/>
      <c r="L3" s="19"/>
      <c r="M3" s="19"/>
      <c r="N3" s="19"/>
      <c r="O3" s="19"/>
      <c r="P3" s="19"/>
      <c r="Q3" s="19"/>
      <c r="R3" s="19"/>
      <c r="S3" s="19"/>
      <c r="T3" s="19"/>
      <c r="U3" s="19"/>
      <c r="V3" s="19"/>
      <c r="W3" s="19"/>
      <c r="X3" s="19"/>
      <c r="Y3" s="29"/>
      <c r="Z3" s="29"/>
      <c r="AA3" s="29"/>
      <c r="AB3" s="29"/>
      <c r="AC3" s="29"/>
      <c r="AD3" s="29"/>
    </row>
    <row r="4" spans="1:30" x14ac:dyDescent="0.45">
      <c r="A4" s="19"/>
      <c r="B4" s="19"/>
      <c r="C4" s="19"/>
      <c r="D4" s="19"/>
      <c r="E4" s="19"/>
      <c r="F4" s="19"/>
      <c r="G4" s="19"/>
      <c r="H4" s="19"/>
      <c r="I4" s="19"/>
      <c r="J4" s="19"/>
      <c r="K4" s="19"/>
      <c r="L4" s="19"/>
      <c r="M4" s="19"/>
      <c r="N4" s="19"/>
      <c r="O4" s="19"/>
      <c r="P4" s="19"/>
      <c r="Q4" s="19"/>
      <c r="R4" s="19"/>
      <c r="S4" s="19"/>
      <c r="T4" s="19"/>
      <c r="U4" s="19"/>
      <c r="V4" s="19"/>
      <c r="W4" s="19"/>
      <c r="X4" s="19"/>
      <c r="Y4" s="29"/>
      <c r="Z4" s="29"/>
      <c r="AA4" s="29"/>
      <c r="AB4" s="29"/>
      <c r="AC4" s="29"/>
      <c r="AD4" s="29"/>
    </row>
    <row r="5" spans="1:30" x14ac:dyDescent="0.45">
      <c r="A5" s="19"/>
      <c r="B5" s="19"/>
      <c r="C5" s="19"/>
      <c r="D5" s="19"/>
      <c r="E5" s="19"/>
      <c r="F5" s="19"/>
      <c r="G5" s="19"/>
      <c r="H5" s="19"/>
      <c r="I5" s="19"/>
      <c r="J5" s="19"/>
      <c r="K5" s="19"/>
      <c r="L5" s="19"/>
      <c r="M5" s="19"/>
      <c r="N5" s="19"/>
      <c r="O5" s="19"/>
      <c r="P5" s="19"/>
      <c r="Q5" s="19"/>
      <c r="R5" s="19"/>
      <c r="S5" s="19"/>
      <c r="T5" s="19"/>
      <c r="U5" s="19"/>
      <c r="V5" s="19"/>
      <c r="W5" s="19"/>
      <c r="X5" s="19"/>
      <c r="Y5" s="29"/>
      <c r="Z5" s="29"/>
      <c r="AA5" s="29"/>
      <c r="AB5" s="29"/>
      <c r="AC5" s="29"/>
      <c r="AD5" s="29"/>
    </row>
    <row r="6" spans="1:30" x14ac:dyDescent="0.45">
      <c r="A6" s="19"/>
      <c r="B6" s="19"/>
      <c r="C6" s="19"/>
      <c r="D6" s="19"/>
      <c r="E6" s="19"/>
      <c r="F6" s="19"/>
      <c r="G6" s="19"/>
      <c r="H6" s="19"/>
      <c r="I6" s="19"/>
      <c r="J6" s="19"/>
      <c r="K6" s="19"/>
      <c r="L6" s="19"/>
      <c r="M6" s="19"/>
      <c r="N6" s="19"/>
      <c r="O6" s="19"/>
      <c r="P6" s="19"/>
      <c r="Q6" s="19"/>
      <c r="R6" s="19"/>
      <c r="S6" s="19"/>
      <c r="T6" s="19"/>
      <c r="U6" s="19"/>
      <c r="V6" s="19"/>
      <c r="W6" s="19"/>
      <c r="X6" s="19"/>
      <c r="Y6" s="29"/>
      <c r="Z6" s="29"/>
      <c r="AA6" s="29"/>
      <c r="AB6" s="29"/>
      <c r="AC6" s="29"/>
      <c r="AD6" s="29"/>
    </row>
    <row r="7" spans="1:30" x14ac:dyDescent="0.45">
      <c r="A7" s="19"/>
      <c r="B7" s="19"/>
      <c r="C7" s="19"/>
      <c r="D7" s="29"/>
      <c r="E7" s="29"/>
      <c r="F7" s="29"/>
      <c r="G7" s="29"/>
      <c r="H7" s="29"/>
      <c r="I7" s="29"/>
      <c r="J7" s="29"/>
      <c r="K7" s="29"/>
      <c r="L7" s="29"/>
      <c r="M7" s="29"/>
      <c r="N7" s="29"/>
      <c r="O7" s="29"/>
      <c r="P7" s="29"/>
      <c r="Q7" s="29"/>
      <c r="R7" s="29"/>
      <c r="S7" s="29"/>
      <c r="T7" s="29"/>
      <c r="U7" s="29"/>
      <c r="V7" s="29"/>
      <c r="W7" s="29"/>
      <c r="X7" s="29"/>
      <c r="Y7" s="29"/>
      <c r="Z7" s="29"/>
      <c r="AA7" s="29"/>
      <c r="AB7" s="29"/>
      <c r="AC7" s="29"/>
      <c r="AD7" s="29"/>
    </row>
    <row r="8" spans="1:30" x14ac:dyDescent="0.45">
      <c r="A8" s="19"/>
      <c r="B8" s="19"/>
      <c r="C8" s="19"/>
      <c r="D8" s="29"/>
      <c r="E8" s="29"/>
      <c r="F8" s="29"/>
      <c r="G8" s="29"/>
      <c r="H8" s="29"/>
      <c r="I8" s="29"/>
      <c r="J8" s="29"/>
      <c r="K8" s="29"/>
      <c r="L8" s="29"/>
      <c r="M8" s="29"/>
      <c r="N8" s="29"/>
      <c r="O8" s="29"/>
      <c r="P8" s="29"/>
      <c r="Q8" s="29"/>
      <c r="R8" s="29"/>
      <c r="S8" s="29"/>
      <c r="T8" s="29"/>
      <c r="U8" s="29"/>
      <c r="V8" s="29"/>
      <c r="W8" s="29"/>
      <c r="X8" s="29"/>
      <c r="Y8" s="29"/>
      <c r="Z8" s="29"/>
      <c r="AA8" s="29"/>
      <c r="AB8" s="29"/>
      <c r="AC8" s="29"/>
      <c r="AD8" s="29"/>
    </row>
    <row r="9" spans="1:30" x14ac:dyDescent="0.45">
      <c r="A9" s="19"/>
      <c r="B9" s="19"/>
      <c r="C9" s="19"/>
      <c r="D9" s="29"/>
      <c r="E9" s="29"/>
      <c r="F9" s="29"/>
      <c r="G9" s="29"/>
      <c r="H9" s="29"/>
      <c r="I9" s="29"/>
      <c r="J9" s="29"/>
      <c r="K9" s="29"/>
      <c r="L9" s="29"/>
      <c r="M9" s="29"/>
      <c r="N9" s="29"/>
      <c r="O9" s="29"/>
      <c r="P9" s="29"/>
      <c r="Q9" s="29"/>
      <c r="R9" s="29"/>
      <c r="S9" s="29"/>
      <c r="T9" s="29"/>
      <c r="U9" s="29"/>
      <c r="V9" s="29"/>
      <c r="W9" s="29"/>
      <c r="X9" s="29"/>
      <c r="Y9" s="29"/>
      <c r="Z9" s="29"/>
      <c r="AA9" s="29"/>
      <c r="AB9" s="29"/>
      <c r="AC9" s="29"/>
      <c r="AD9" s="29"/>
    </row>
    <row r="10" spans="1:30" x14ac:dyDescent="0.45">
      <c r="A10" s="19"/>
      <c r="B10" s="19"/>
      <c r="C10" s="1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row>
    <row r="11" spans="1:30" x14ac:dyDescent="0.45">
      <c r="A11" s="19"/>
      <c r="B11" s="19"/>
      <c r="C11" s="1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row>
    <row r="12" spans="1:30" x14ac:dyDescent="0.45">
      <c r="A12" s="19"/>
      <c r="B12" s="19"/>
      <c r="C12" s="1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row>
    <row r="13" spans="1:30" x14ac:dyDescent="0.45">
      <c r="A13" s="19"/>
      <c r="B13" s="19"/>
      <c r="C13" s="1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row>
    <row r="14" spans="1:30" x14ac:dyDescent="0.45">
      <c r="A14" s="19"/>
      <c r="B14" s="19"/>
      <c r="C14" s="1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row>
    <row r="15" spans="1:30" x14ac:dyDescent="0.45">
      <c r="A15" s="19"/>
      <c r="B15" s="19"/>
      <c r="C15" s="1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row>
    <row r="16" spans="1:30" x14ac:dyDescent="0.45">
      <c r="A16" s="19"/>
      <c r="B16" s="19"/>
      <c r="C16" s="1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row>
    <row r="17" spans="1:30" x14ac:dyDescent="0.45">
      <c r="A17" s="19"/>
      <c r="B17" s="19"/>
      <c r="C17" s="1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row>
    <row r="18" spans="1:30" x14ac:dyDescent="0.45">
      <c r="A18" s="19"/>
      <c r="B18" s="19"/>
      <c r="C18" s="1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row>
    <row r="19" spans="1:30" x14ac:dyDescent="0.45">
      <c r="A19" s="19"/>
      <c r="B19" s="19"/>
      <c r="C19" s="1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row>
    <row r="20" spans="1:30" x14ac:dyDescent="0.45">
      <c r="A20" s="19"/>
      <c r="B20" s="19"/>
      <c r="C20" s="1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row>
    <row r="21" spans="1:30" x14ac:dyDescent="0.45">
      <c r="A21" s="19"/>
      <c r="B21" s="19"/>
      <c r="C21" s="1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row>
    <row r="22" spans="1:30" x14ac:dyDescent="0.45">
      <c r="A22" s="19"/>
      <c r="B22" s="19"/>
      <c r="C22" s="1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row>
    <row r="23" spans="1:30" x14ac:dyDescent="0.45">
      <c r="A23" s="19"/>
      <c r="B23" s="19"/>
      <c r="C23" s="1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row>
    <row r="24" spans="1:30" x14ac:dyDescent="0.45">
      <c r="A24" s="19"/>
      <c r="B24" s="19"/>
      <c r="C24" s="1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row>
    <row r="25" spans="1:30" x14ac:dyDescent="0.45">
      <c r="A25" s="19"/>
      <c r="B25" s="19"/>
      <c r="C25" s="1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row>
    <row r="26" spans="1:30" x14ac:dyDescent="0.45">
      <c r="A26" s="19"/>
      <c r="B26" s="19"/>
      <c r="C26" s="1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row>
    <row r="27" spans="1:30" x14ac:dyDescent="0.45">
      <c r="A27" s="19"/>
      <c r="B27" s="19"/>
      <c r="C27" s="1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row>
    <row r="28" spans="1:30" x14ac:dyDescent="0.45">
      <c r="A28" s="19"/>
      <c r="B28" s="19"/>
      <c r="C28" s="1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row>
    <row r="29" spans="1:30" x14ac:dyDescent="0.45">
      <c r="A29" s="19"/>
      <c r="B29" s="19"/>
      <c r="C29" s="1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row>
    <row r="30" spans="1:30" x14ac:dyDescent="0.45">
      <c r="A30" s="19"/>
      <c r="B30" s="19"/>
      <c r="C30" s="1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row>
    <row r="31" spans="1:30" x14ac:dyDescent="0.45">
      <c r="A31" s="19"/>
      <c r="B31" s="19"/>
      <c r="C31" s="1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row>
    <row r="32" spans="1:30" x14ac:dyDescent="0.45">
      <c r="A32" s="19"/>
      <c r="B32" s="19"/>
      <c r="C32" s="1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row>
    <row r="33" spans="1:30" x14ac:dyDescent="0.45">
      <c r="A33" s="19"/>
      <c r="B33" s="19"/>
      <c r="C33" s="1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row>
    <row r="34" spans="1:30" x14ac:dyDescent="0.45">
      <c r="A34" s="19"/>
      <c r="B34" s="19"/>
      <c r="C34" s="1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row>
    <row r="35" spans="1:30" x14ac:dyDescent="0.45">
      <c r="A35" s="19"/>
      <c r="B35" s="19"/>
      <c r="C35" s="1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row>
    <row r="36" spans="1:30" x14ac:dyDescent="0.45">
      <c r="A36" s="19"/>
      <c r="B36" s="19"/>
      <c r="C36" s="1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row>
    <row r="37" spans="1:30" x14ac:dyDescent="0.45">
      <c r="A37" s="19"/>
      <c r="B37" s="19"/>
      <c r="C37" s="1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row>
    <row r="38" spans="1:30" x14ac:dyDescent="0.45">
      <c r="A38" s="19"/>
      <c r="B38" s="19"/>
      <c r="C38" s="1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row>
    <row r="39" spans="1:30" x14ac:dyDescent="0.45">
      <c r="A39" s="19"/>
      <c r="B39" s="19"/>
      <c r="C39" s="1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row>
    <row r="40" spans="1:30" x14ac:dyDescent="0.45">
      <c r="A40" s="19"/>
      <c r="B40" s="19"/>
      <c r="C40" s="1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row>
    <row r="41" spans="1:30" x14ac:dyDescent="0.45">
      <c r="A41" s="19"/>
      <c r="B41" s="19"/>
      <c r="C41" s="1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row>
    <row r="42" spans="1:30" x14ac:dyDescent="0.45">
      <c r="A42" s="19"/>
      <c r="B42" s="19"/>
      <c r="C42" s="1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row>
    <row r="43" spans="1:30"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row>
    <row r="44" spans="1:30" x14ac:dyDescent="0.45">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row>
    <row r="45" spans="1:30" x14ac:dyDescent="0.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row>
    <row r="46" spans="1:30" x14ac:dyDescent="0.45">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row>
    <row r="47" spans="1:30" x14ac:dyDescent="0.45">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Customers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Mohamed_Elbaz</cp:lastModifiedBy>
  <cp:lastPrinted>2026-05-25T11:27:50Z</cp:lastPrinted>
  <dcterms:created xsi:type="dcterms:W3CDTF">2026-05-22T19:26:10Z</dcterms:created>
  <dcterms:modified xsi:type="dcterms:W3CDTF">2026-05-26T14:09:24Z</dcterms:modified>
</cp:coreProperties>
</file>